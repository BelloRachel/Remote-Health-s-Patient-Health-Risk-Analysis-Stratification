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ELL\Documents\Axia Analysis\"/>
    </mc:Choice>
  </mc:AlternateContent>
  <xr:revisionPtr revIDLastSave="0" documentId="8_{B2F01433-7671-42E2-BEA3-6571F8A55357}" xr6:coauthVersionLast="47" xr6:coauthVersionMax="47" xr10:uidLastSave="{00000000-0000-0000-0000-000000000000}"/>
  <bookViews>
    <workbookView xWindow="-120" yWindow="-120" windowWidth="29040" windowHeight="15840" activeTab="5" xr2:uid="{1232D767-E009-47A7-8C22-42FBC827849B}"/>
  </bookViews>
  <sheets>
    <sheet name="Patients" sheetId="2" r:id="rId1"/>
    <sheet name="Clean" sheetId="12" r:id="rId2"/>
    <sheet name="Vitals" sheetId="3" r:id="rId3"/>
    <sheet name="Merged" sheetId="1" r:id="rId4"/>
    <sheet name="Analysis-Pivot" sheetId="5" r:id="rId5"/>
    <sheet name="Charts" sheetId="11" r:id="rId6"/>
  </sheets>
  <definedNames>
    <definedName name="_xlcn.WorksheetConnection_Book1Table2" hidden="1">Table2[]</definedName>
    <definedName name="Slicer_Age">#N/A</definedName>
    <definedName name="Slicer_Gender">#N/A</definedName>
    <definedName name="Slicer_Location">#N/A</definedName>
  </definedNames>
  <calcPr calcId="191029"/>
  <pivotCaches>
    <pivotCache cacheId="0" r:id="rId7"/>
    <pivotCache cacheId="1" r:id="rId8"/>
  </pivotCaches>
  <fileRecoveryPr repairLoad="1"/>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ook1!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2" l="1" a="1"/>
  <c r="I2" i="12" s="1"/>
  <c r="D2" i="12" a="1"/>
  <c r="D2" i="12" s="1"/>
  <c r="C2" i="12" a="1"/>
  <c r="C2" i="12" s="1"/>
  <c r="B2" i="12" a="1"/>
  <c r="B2" i="12" s="1"/>
  <c r="A2" i="12" a="1"/>
  <c r="A2" i="12" s="1"/>
  <c r="A12" i="1"/>
  <c r="L3" i="1"/>
  <c r="L4" i="1"/>
  <c r="L5" i="1"/>
  <c r="L6" i="1"/>
  <c r="L7" i="1"/>
  <c r="L8" i="1"/>
  <c r="L2" i="1"/>
  <c r="O2" i="1"/>
  <c r="O3" i="1"/>
  <c r="O4" i="1"/>
  <c r="O5" i="1"/>
  <c r="O6" i="1"/>
  <c r="O7" i="1"/>
  <c r="O8" i="1"/>
  <c r="N2" i="1"/>
  <c r="N3" i="1"/>
  <c r="N4" i="1"/>
  <c r="N5" i="1"/>
  <c r="N6" i="1"/>
  <c r="N7" i="1"/>
  <c r="N8" i="1"/>
  <c r="M2" i="1"/>
  <c r="M3" i="1"/>
  <c r="M4" i="1"/>
  <c r="M5" i="1"/>
  <c r="M6" i="1"/>
  <c r="M7" i="1"/>
  <c r="M8" i="1"/>
  <c r="P7" i="1" l="1"/>
  <c r="P6" i="1"/>
  <c r="P5" i="1"/>
  <c r="P2" i="1"/>
  <c r="P8" i="1"/>
  <c r="P4" i="1"/>
  <c r="P3" i="1"/>
  <c r="Q2" i="1" l="1"/>
  <c r="Q3" i="1"/>
  <c r="Q5" i="1"/>
  <c r="Q4" i="1"/>
  <c r="Q6" i="1"/>
  <c r="Q8" i="1"/>
  <c r="Q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0A6480-3FA7-41E9-A8DB-3DF0BBD54C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F5504DC-5514-4A1C-9049-8719121C41E9}" name="WorksheetConnection_Book1!Table2" type="102" refreshedVersion="8" minRefreshableVersion="5">
    <extLst>
      <ext xmlns:x15="http://schemas.microsoft.com/office/spreadsheetml/2010/11/main" uri="{DE250136-89BD-433C-8126-D09CA5730AF9}">
        <x15:connection id="Table2" autoDelete="1">
          <x15:rangePr sourceName="_xlcn.WorksheetConnection_Book1Table2"/>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<sst xmlns="http://schemas.openxmlformats.org/spreadsheetml/2006/main" count="141" uniqueCount="60">
  <si>
    <t>Patient ID</t>
  </si>
  <si>
    <t>Age</t>
  </si>
  <si>
    <t>Gender</t>
  </si>
  <si>
    <t>Location</t>
  </si>
  <si>
    <t>Chronic Condition</t>
  </si>
  <si>
    <t>P001</t>
  </si>
  <si>
    <t>Female</t>
  </si>
  <si>
    <t>Lagos</t>
  </si>
  <si>
    <t>Hypertension</t>
  </si>
  <si>
    <t>P002</t>
  </si>
  <si>
    <t>Male</t>
  </si>
  <si>
    <t>Abuja</t>
  </si>
  <si>
    <t>Diabetes</t>
  </si>
  <si>
    <t>P003</t>
  </si>
  <si>
    <t>Port Harcourt</t>
  </si>
  <si>
    <t>None</t>
  </si>
  <si>
    <t>P004</t>
  </si>
  <si>
    <t>Ibadan</t>
  </si>
  <si>
    <t>Heart Disease</t>
  </si>
  <si>
    <t>P005</t>
  </si>
  <si>
    <t>Enugu</t>
  </si>
  <si>
    <t>P006</t>
  </si>
  <si>
    <t>Uyo</t>
  </si>
  <si>
    <t>P007</t>
  </si>
  <si>
    <t>Owerri</t>
  </si>
  <si>
    <t>Vitals ID</t>
  </si>
  <si>
    <t>Systolic BP</t>
  </si>
  <si>
    <t>Diastolic BP</t>
  </si>
  <si>
    <t>Heart Rate</t>
  </si>
  <si>
    <t>Glucose Level</t>
  </si>
  <si>
    <t>Record Date</t>
  </si>
  <si>
    <t>V001</t>
  </si>
  <si>
    <t>V002</t>
  </si>
  <si>
    <t>V003</t>
  </si>
  <si>
    <t>V004</t>
  </si>
  <si>
    <t>V005</t>
  </si>
  <si>
    <t>V006</t>
  </si>
  <si>
    <t>V007</t>
  </si>
  <si>
    <t>Abnormal HeartRate</t>
  </si>
  <si>
    <t>High BP</t>
  </si>
  <si>
    <t>High Glucose</t>
  </si>
  <si>
    <t>Abnormal Vitals</t>
  </si>
  <si>
    <t>Risk Category</t>
  </si>
  <si>
    <t>Row Labels</t>
  </si>
  <si>
    <t>Grand Total</t>
  </si>
  <si>
    <t>Medium Risk</t>
  </si>
  <si>
    <t>Low Risk</t>
  </si>
  <si>
    <t>High Risk</t>
  </si>
  <si>
    <t>Column Labels</t>
  </si>
  <si>
    <t>Count of Patient ID</t>
  </si>
  <si>
    <t>Age Group</t>
  </si>
  <si>
    <t>Patient by Risk Category</t>
  </si>
  <si>
    <t>30–39</t>
  </si>
  <si>
    <t>40–59</t>
  </si>
  <si>
    <t>60+</t>
  </si>
  <si>
    <t>Risk by Age Group</t>
  </si>
  <si>
    <t>Risk by Chronic Condition</t>
  </si>
  <si>
    <t>W</t>
  </si>
  <si>
    <t>SSsSSSSSSsSSs</t>
  </si>
  <si>
    <t>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</si>
</sst>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Arial"/>
      <family val="2"/>
    </font>
    <font>
      <sz val="11"/>
      <color rgb="FF000000"/>
      <name val="Arial"/>
      <family val="2"/>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4" fillId="0" borderId="1" xfId="0" applyFont="1" applyBorder="1" applyAlignment="1">
      <alignment vertical="center" wrapText="1"/>
    </xf>
    <xf numFmtId="164" fontId="4" fillId="0" borderId="1" xfId="0" applyNumberFormat="1" applyFont="1" applyBorder="1" applyAlignment="1">
      <alignment vertical="center" wrapText="1"/>
    </xf>
    <xf numFmtId="164" fontId="0" fillId="0" borderId="0" xfId="0" applyNumberFormat="1"/>
    <xf numFmtId="49" fontId="4" fillId="0" borderId="1" xfId="0" applyNumberFormat="1" applyFont="1" applyBorder="1" applyAlignment="1">
      <alignment vertical="center" wrapText="1"/>
    </xf>
    <xf numFmtId="49" fontId="0" fillId="0" borderId="0" xfId="0" applyNumberFormat="1"/>
    <xf numFmtId="0" fontId="4" fillId="0" borderId="2" xfId="0" applyFont="1" applyBorder="1" applyAlignment="1">
      <alignment vertical="center" wrapText="1"/>
    </xf>
    <xf numFmtId="14" fontId="4" fillId="0" borderId="3" xfId="0" applyNumberFormat="1" applyFont="1" applyBorder="1" applyAlignment="1">
      <alignment vertical="center" wrapText="1"/>
    </xf>
    <xf numFmtId="0" fontId="3" fillId="0" borderId="4" xfId="0" applyFont="1" applyBorder="1" applyAlignment="1">
      <alignment horizontal="center" wrapText="1"/>
    </xf>
    <xf numFmtId="164" fontId="3" fillId="0" borderId="5" xfId="0" applyNumberFormat="1" applyFont="1" applyBorder="1" applyAlignment="1">
      <alignment horizontal="center" wrapText="1"/>
    </xf>
    <xf numFmtId="49" fontId="3" fillId="0" borderId="5" xfId="0" applyNumberFormat="1"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4" fillId="0" borderId="7" xfId="0" applyFont="1" applyBorder="1" applyAlignment="1">
      <alignment vertical="center" wrapText="1"/>
    </xf>
    <xf numFmtId="164" fontId="4" fillId="0" borderId="8" xfId="0" applyNumberFormat="1" applyFont="1" applyBorder="1" applyAlignment="1">
      <alignment vertical="center" wrapText="1"/>
    </xf>
    <xf numFmtId="49" fontId="4" fillId="0" borderId="8" xfId="0" applyNumberFormat="1" applyFont="1" applyBorder="1" applyAlignment="1">
      <alignment vertical="center" wrapText="1"/>
    </xf>
    <xf numFmtId="0" fontId="4" fillId="0" borderId="8" xfId="0" applyFont="1" applyBorder="1" applyAlignment="1">
      <alignment vertical="center" wrapText="1"/>
    </xf>
    <xf numFmtId="14" fontId="4" fillId="0" borderId="9" xfId="0" applyNumberFormat="1" applyFont="1" applyBorder="1" applyAlignment="1">
      <alignment vertical="center" wrapText="1"/>
    </xf>
    <xf numFmtId="164" fontId="4" fillId="0" borderId="5" xfId="0" applyNumberFormat="1" applyFont="1" applyBorder="1" applyAlignment="1">
      <alignment vertical="center" wrapText="1"/>
    </xf>
    <xf numFmtId="0" fontId="0" fillId="0" borderId="0" xfId="0" pivotButton="1"/>
    <xf numFmtId="0" fontId="0" fillId="0" borderId="0" xfId="0" applyAlignment="1">
      <alignment horizontal="left"/>
    </xf>
    <xf numFmtId="164" fontId="3" fillId="0" borderId="6" xfId="0" applyNumberFormat="1" applyFont="1" applyBorder="1" applyAlignment="1">
      <alignment horizontal="center" wrapText="1"/>
    </xf>
    <xf numFmtId="164" fontId="4" fillId="0" borderId="3" xfId="0" applyNumberFormat="1" applyFont="1" applyBorder="1" applyAlignment="1">
      <alignment vertical="center" wrapText="1"/>
    </xf>
    <xf numFmtId="164" fontId="4" fillId="0" borderId="9" xfId="0" applyNumberFormat="1" applyFont="1" applyBorder="1" applyAlignment="1">
      <alignment vertical="center" wrapText="1"/>
    </xf>
    <xf numFmtId="14" fontId="4" fillId="0" borderId="6" xfId="0" applyNumberFormat="1" applyFont="1" applyBorder="1" applyAlignment="1">
      <alignment vertical="center" wrapText="1"/>
    </xf>
    <xf numFmtId="0" fontId="2" fillId="0" borderId="0" xfId="0" applyFont="1"/>
    <xf numFmtId="9" fontId="0" fillId="0" borderId="0" xfId="1" applyFont="1"/>
    <xf numFmtId="164" fontId="4" fillId="0" borderId="6" xfId="0" applyNumberFormat="1" applyFont="1" applyBorder="1" applyAlignment="1">
      <alignment vertical="center" wrapText="1"/>
    </xf>
    <xf numFmtId="9" fontId="2" fillId="0" borderId="0" xfId="1" applyFont="1"/>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3" xfId="0" applyFont="1" applyBorder="1" applyAlignment="1">
      <alignment vertical="center" wrapText="1"/>
    </xf>
    <xf numFmtId="0" fontId="4" fillId="0" borderId="9" xfId="0" applyFont="1" applyBorder="1" applyAlignment="1">
      <alignment vertical="center" wrapText="1"/>
    </xf>
  </cellXfs>
  <cellStyles count="2">
    <cellStyle name="Normal" xfId="0" builtinId="0"/>
    <cellStyle name="Percent" xfId="1" builtinId="5"/>
  </cellStyles>
  <dxfs count="44">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9" formatCode="m/d/yyyy"/>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9" formatCode="m/d/yyyy"/>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30" formatCode="@"/>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30" formatCode="@"/>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30" formatCode="@"/>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164" formatCode="0;[Red]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rgb="FF000000"/>
        <name val="Arial"/>
        <family val="2"/>
        <scheme val="none"/>
      </font>
      <numFmt numFmtId="164" formatCode="0;[Red]0"/>
      <alignment horizontal="center" vertical="bottom"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Arial"/>
        <family val="2"/>
        <scheme val="none"/>
      </font>
      <numFmt numFmtId="19" formatCode="m/d/yyyy"/>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rgb="FF000000"/>
        <name val="Arial"/>
        <family val="2"/>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family val="2"/>
        <scheme val="none"/>
      </font>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rgb="FF000000"/>
        <name val="Arial"/>
        <family val="2"/>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[RemoteHealth_Risk_Analysis.xlsx]Analysis-Pivot!PivotTable1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'Analysis-Pivot'!$B$3</c:f>
              <c:strCache>
                <c:ptCount val="1"/>
                <c:pt idx="0">
                  <c:v>Total</c:v>
                </c:pt>
              </c:strCache>
            </c:strRef>
          </c:tx>
          <c:spPr>
            <a:solidFill>
              <a:schemeClr val="accent4"/>
            </a:solidFill>
            <a:ln>
              <a:noFill/>
            </a:ln>
            <a:effectLst/>
          </c:spPr>
          <c:invertIfNegative val="0"/>
          <c:cat>
            <c:strRef>
              <c:f>'Analysis-Pivot'!$A$4:$A$7</c:f>
              <c:strCache>
                <c:ptCount val="3"/>
                <c:pt idx="0">
                  <c:v>High Risk</c:v>
                </c:pt>
                <c:pt idx="1">
                  <c:v>Low Risk</c:v>
                </c:pt>
                <c:pt idx="2">
                  <c:v>Medium Risk</c:v>
                </c:pt>
              </c:strCache>
            </c:strRef>
          </c:cat>
          <c:val>
            <c:numRef>
              <c:f>'Analysis-Pivot'!$B$4:$B$7</c:f>
              <c:numCache>
                <c:formatCode>General</c:formatCode>
                <c:ptCount val="3"/>
                <c:pt idx="0">
                  <c:v>1</c:v>
                </c:pt>
                <c:pt idx="1">
                  <c:v>2</c:v>
                </c:pt>
                <c:pt idx="2">
                  <c:v>4</c:v>
                </c:pt>
              </c:numCache>
            </c:numRef>
          </c:val>
          <c:extLst>
            <c:ext xmlns:c16="http://schemas.microsoft.com/office/drawing/2014/chart" uri="{C3380CC4-5D6E-409C-BE32-E72D297353CC}">
              <c16:uniqueId val="{00000000-0B0A-4875-8EF1-B77AEAB7F8CB}"/>
            </c:ext>
          </c:extLst>
        </c:ser>
        <c:dLbls>
          <c:showLegendKey val="0"/>
          <c:showVal val="0"/>
          <c:showCatName val="0"/>
          <c:showSerName val="0"/>
          <c:showPercent val="0"/>
          <c:showBubbleSize val="0"/>
        </c:dLbls>
        <c:gapWidth val="219"/>
        <c:overlap val="-27"/>
        <c:axId val="471656968"/>
        <c:axId val="471660568"/>
      </c:barChart>
      <c:catAx>
        <c:axId val="47165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60568"/>
        <c:crosses val="autoZero"/>
        <c:auto val="1"/>
        <c:lblAlgn val="ctr"/>
        <c:lblOffset val="100"/>
        <c:noMultiLvlLbl val="0"/>
      </c:catAx>
      <c:valAx>
        <c:axId val="471660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56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[RemoteHealth_Risk_Analysis.xlsx]Analysis-Pivot!PivotTable5</c:name>
    <c:fmtId val="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'Analysis-Pivot'!$B$12:$B$13</c:f>
              <c:strCache>
                <c:ptCount val="1"/>
                <c:pt idx="0">
                  <c:v>High Risk</c:v>
                </c:pt>
              </c:strCache>
            </c:strRef>
          </c:tx>
          <c:spPr>
            <a:solidFill>
              <a:schemeClr val="accent6"/>
            </a:solidFill>
            <a:ln>
              <a:noFill/>
            </a:ln>
            <a:effectLst/>
          </c:spPr>
          <c:invertIfNegative val="0"/>
          <c:cat>
            <c:strRef>
              <c:f>'Analysis-Pivot'!$A$14:$A$17</c:f>
              <c:strCache>
                <c:ptCount val="3"/>
                <c:pt idx="0">
                  <c:v>30–39</c:v>
                </c:pt>
                <c:pt idx="1">
                  <c:v>40–59</c:v>
                </c:pt>
                <c:pt idx="2">
                  <c:v>60+</c:v>
                </c:pt>
              </c:strCache>
            </c:strRef>
          </c:cat>
          <c:val>
            <c:numRef>
              <c:f>'Analysis-Pivot'!$B$14:$B$17</c:f>
              <c:numCache>
                <c:formatCode>General</c:formatCode>
                <c:ptCount val="3"/>
                <c:pt idx="2">
                  <c:v>1</c:v>
                </c:pt>
              </c:numCache>
            </c:numRef>
          </c:val>
          <c:extLst>
            <c:ext xmlns:c16="http://schemas.microsoft.com/office/drawing/2014/chart" uri="{C3380CC4-5D6E-409C-BE32-E72D297353CC}">
              <c16:uniqueId val="{00000000-03A1-4E07-8495-D51BAAE75F6C}"/>
            </c:ext>
          </c:extLst>
        </c:ser>
        <c:ser>
          <c:idx val="1"/>
          <c:order val="1"/>
          <c:tx>
            <c:strRef>
              <c:f>'Analysis-Pivot'!$C$12:$C$13</c:f>
              <c:strCache>
                <c:ptCount val="1"/>
                <c:pt idx="0">
                  <c:v>Low Risk</c:v>
                </c:pt>
              </c:strCache>
            </c:strRef>
          </c:tx>
          <c:spPr>
            <a:solidFill>
              <a:schemeClr val="accent5"/>
            </a:solidFill>
            <a:ln>
              <a:noFill/>
            </a:ln>
            <a:effectLst/>
          </c:spPr>
          <c:invertIfNegative val="0"/>
          <c:cat>
            <c:strRef>
              <c:f>'Analysis-Pivot'!$A$14:$A$17</c:f>
              <c:strCache>
                <c:ptCount val="3"/>
                <c:pt idx="0">
                  <c:v>30–39</c:v>
                </c:pt>
                <c:pt idx="1">
                  <c:v>40–59</c:v>
                </c:pt>
                <c:pt idx="2">
                  <c:v>60+</c:v>
                </c:pt>
              </c:strCache>
            </c:strRef>
          </c:cat>
          <c:val>
            <c:numRef>
              <c:f>'Analysis-Pivot'!$C$14:$C$17</c:f>
              <c:numCache>
                <c:formatCode>General</c:formatCode>
                <c:ptCount val="3"/>
                <c:pt idx="0">
                  <c:v>2</c:v>
                </c:pt>
              </c:numCache>
            </c:numRef>
          </c:val>
          <c:extLst>
            <c:ext xmlns:c16="http://schemas.microsoft.com/office/drawing/2014/chart" uri="{C3380CC4-5D6E-409C-BE32-E72D297353CC}">
              <c16:uniqueId val="{00000001-03A1-4E07-8495-D51BAAE75F6C}"/>
            </c:ext>
          </c:extLst>
        </c:ser>
        <c:ser>
          <c:idx val="2"/>
          <c:order val="2"/>
          <c:tx>
            <c:strRef>
              <c:f>'Analysis-Pivot'!$D$12:$D$13</c:f>
              <c:strCache>
                <c:ptCount val="1"/>
                <c:pt idx="0">
                  <c:v>Medium Risk</c:v>
                </c:pt>
              </c:strCache>
            </c:strRef>
          </c:tx>
          <c:spPr>
            <a:solidFill>
              <a:schemeClr val="accent4"/>
            </a:solidFill>
            <a:ln>
              <a:noFill/>
            </a:ln>
            <a:effectLst/>
          </c:spPr>
          <c:invertIfNegative val="0"/>
          <c:cat>
            <c:strRef>
              <c:f>'Analysis-Pivot'!$A$14:$A$17</c:f>
              <c:strCache>
                <c:ptCount val="3"/>
                <c:pt idx="0">
                  <c:v>30–39</c:v>
                </c:pt>
                <c:pt idx="1">
                  <c:v>40–59</c:v>
                </c:pt>
                <c:pt idx="2">
                  <c:v>60+</c:v>
                </c:pt>
              </c:strCache>
            </c:strRef>
          </c:cat>
          <c:val>
            <c:numRef>
              <c:f>'Analysis-Pivot'!$D$14:$D$17</c:f>
              <c:numCache>
                <c:formatCode>General</c:formatCode>
                <c:ptCount val="3"/>
                <c:pt idx="1">
                  <c:v>2</c:v>
                </c:pt>
                <c:pt idx="2">
                  <c:v>2</c:v>
                </c:pt>
              </c:numCache>
            </c:numRef>
          </c:val>
          <c:extLst>
            <c:ext xmlns:c16="http://schemas.microsoft.com/office/drawing/2014/chart" uri="{C3380CC4-5D6E-409C-BE32-E72D297353CC}">
              <c16:uniqueId val="{00000002-03A1-4E07-8495-D51BAAE75F6C}"/>
            </c:ext>
          </c:extLst>
        </c:ser>
        <c:dLbls>
          <c:showLegendKey val="0"/>
          <c:showVal val="0"/>
          <c:showCatName val="0"/>
          <c:showSerName val="0"/>
          <c:showPercent val="0"/>
          <c:showBubbleSize val="0"/>
        </c:dLbls>
        <c:gapWidth val="150"/>
        <c:overlap val="100"/>
        <c:axId val="520963088"/>
        <c:axId val="520963808"/>
      </c:barChart>
      <c:catAx>
        <c:axId val="52096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63808"/>
        <c:crosses val="autoZero"/>
        <c:auto val="1"/>
        <c:lblAlgn val="ctr"/>
        <c:lblOffset val="100"/>
        <c:noMultiLvlLbl val="0"/>
      </c:catAx>
      <c:valAx>
        <c:axId val="52096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6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[RemoteHealth_Risk_Analysis.xlsx]Analysis-Pivot!PivotTable7</c:name>
    <c:fmtId val="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'Analysis-Pivot'!$B$22:$B$23</c:f>
              <c:strCache>
                <c:ptCount val="1"/>
                <c:pt idx="0">
                  <c:v>High Risk</c:v>
                </c:pt>
              </c:strCache>
            </c:strRef>
          </c:tx>
          <c:spPr>
            <a:solidFill>
              <a:schemeClr val="accent6"/>
            </a:solidFill>
            <a:ln>
              <a:noFill/>
            </a:ln>
            <a:effectLst/>
          </c:spPr>
          <c:invertIfNegative val="0"/>
          <c:cat>
            <c:strRef>
              <c:f>'Analysis-Pivot'!$A$24:$A$28</c:f>
              <c:strCache>
                <c:ptCount val="4"/>
                <c:pt idx="0">
                  <c:v>Diabetes</c:v>
                </c:pt>
                <c:pt idx="1">
                  <c:v>Heart Disease</c:v>
                </c:pt>
                <c:pt idx="2">
                  <c:v>Hypertension</c:v>
                </c:pt>
                <c:pt idx="3">
                  <c:v>None</c:v>
                </c:pt>
              </c:strCache>
            </c:strRef>
          </c:cat>
          <c:val>
            <c:numRef>
              <c:f>'Analysis-Pivot'!$B$24:$B$28</c:f>
              <c:numCache>
                <c:formatCode>General</c:formatCode>
                <c:ptCount val="4"/>
                <c:pt idx="0">
                  <c:v>1</c:v>
                </c:pt>
              </c:numCache>
            </c:numRef>
          </c:val>
          <c:extLst>
            <c:ext xmlns:c16="http://schemas.microsoft.com/office/drawing/2014/chart" uri="{C3380CC4-5D6E-409C-BE32-E72D297353CC}">
              <c16:uniqueId val="{00000000-8924-4111-AB87-4105AAD59BB9}"/>
            </c:ext>
          </c:extLst>
        </c:ser>
        <c:ser>
          <c:idx val="1"/>
          <c:order val="1"/>
          <c:tx>
            <c:strRef>
              <c:f>'Analysis-Pivot'!$C$22:$C$23</c:f>
              <c:strCache>
                <c:ptCount val="1"/>
                <c:pt idx="0">
                  <c:v>Low Risk</c:v>
                </c:pt>
              </c:strCache>
            </c:strRef>
          </c:tx>
          <c:spPr>
            <a:solidFill>
              <a:schemeClr val="accent5"/>
            </a:solidFill>
            <a:ln>
              <a:noFill/>
            </a:ln>
            <a:effectLst/>
          </c:spPr>
          <c:invertIfNegative val="0"/>
          <c:cat>
            <c:strRef>
              <c:f>'Analysis-Pivot'!$A$24:$A$28</c:f>
              <c:strCache>
                <c:ptCount val="4"/>
                <c:pt idx="0">
                  <c:v>Diabetes</c:v>
                </c:pt>
                <c:pt idx="1">
                  <c:v>Heart Disease</c:v>
                </c:pt>
                <c:pt idx="2">
                  <c:v>Hypertension</c:v>
                </c:pt>
                <c:pt idx="3">
                  <c:v>None</c:v>
                </c:pt>
              </c:strCache>
            </c:strRef>
          </c:cat>
          <c:val>
            <c:numRef>
              <c:f>'Analysis-Pivot'!$C$24:$C$28</c:f>
              <c:numCache>
                <c:formatCode>General</c:formatCode>
                <c:ptCount val="4"/>
                <c:pt idx="3">
                  <c:v>2</c:v>
                </c:pt>
              </c:numCache>
            </c:numRef>
          </c:val>
          <c:extLst>
            <c:ext xmlns:c16="http://schemas.microsoft.com/office/drawing/2014/chart" uri="{C3380CC4-5D6E-409C-BE32-E72D297353CC}">
              <c16:uniqueId val="{00000001-8924-4111-AB87-4105AAD59BB9}"/>
            </c:ext>
          </c:extLst>
        </c:ser>
        <c:ser>
          <c:idx val="2"/>
          <c:order val="2"/>
          <c:tx>
            <c:strRef>
              <c:f>'Analysis-Pivot'!$D$22:$D$23</c:f>
              <c:strCache>
                <c:ptCount val="1"/>
                <c:pt idx="0">
                  <c:v>Medium Risk</c:v>
                </c:pt>
              </c:strCache>
            </c:strRef>
          </c:tx>
          <c:spPr>
            <a:solidFill>
              <a:schemeClr val="accent4"/>
            </a:solidFill>
            <a:ln>
              <a:noFill/>
            </a:ln>
            <a:effectLst/>
          </c:spPr>
          <c:invertIfNegative val="0"/>
          <c:cat>
            <c:strRef>
              <c:f>'Analysis-Pivot'!$A$24:$A$28</c:f>
              <c:strCache>
                <c:ptCount val="4"/>
                <c:pt idx="0">
                  <c:v>Diabetes</c:v>
                </c:pt>
                <c:pt idx="1">
                  <c:v>Heart Disease</c:v>
                </c:pt>
                <c:pt idx="2">
                  <c:v>Hypertension</c:v>
                </c:pt>
                <c:pt idx="3">
                  <c:v>None</c:v>
                </c:pt>
              </c:strCache>
            </c:strRef>
          </c:cat>
          <c:val>
            <c:numRef>
              <c:f>'Analysis-Pivot'!$D$24:$D$28</c:f>
              <c:numCache>
                <c:formatCode>General</c:formatCode>
                <c:ptCount val="4"/>
                <c:pt idx="0">
                  <c:v>1</c:v>
                </c:pt>
                <c:pt idx="1">
                  <c:v>1</c:v>
                </c:pt>
                <c:pt idx="2">
                  <c:v>2</c:v>
                </c:pt>
              </c:numCache>
            </c:numRef>
          </c:val>
          <c:extLst>
            <c:ext xmlns:c16="http://schemas.microsoft.com/office/drawing/2014/chart" uri="{C3380CC4-5D6E-409C-BE32-E72D297353CC}">
              <c16:uniqueId val="{00000002-8924-4111-AB87-4105AAD59BB9}"/>
            </c:ext>
          </c:extLst>
        </c:ser>
        <c:dLbls>
          <c:showLegendKey val="0"/>
          <c:showVal val="0"/>
          <c:showCatName val="0"/>
          <c:showSerName val="0"/>
          <c:showPercent val="0"/>
          <c:showBubbleSize val="0"/>
        </c:dLbls>
        <c:gapWidth val="219"/>
        <c:overlap val="-27"/>
        <c:axId val="772949136"/>
        <c:axId val="772952376"/>
      </c:barChart>
      <c:catAx>
        <c:axId val="77294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52376"/>
        <c:crosses val="autoZero"/>
        <c:auto val="1"/>
        <c:lblAlgn val="ctr"/>
        <c:lblOffset val="100"/>
        <c:noMultiLvlLbl val="0"/>
      </c:catAx>
      <c:valAx>
        <c:axId val="772952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4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xdr:colOff>
      <xdr:row>1</xdr:row>
      <xdr:rowOff>28575</xdr:rowOff>
    </xdr:from>
    <xdr:to>
      <xdr:col>8</xdr:col>
      <xdr:colOff>400050</xdr:colOff>
      <xdr:row>5</xdr:row>
      <xdr:rowOff>161925</xdr:rowOff>
    </xdr:to>
    <xdr:sp macro="" textlink="">
      <xdr:nvSpPr>
        <xdr:cNvPr id="3" name="TextBox 2">
          <a:extLst>
            <a:ext uri="{FF2B5EF4-FFF2-40B4-BE49-F238E27FC236}">
              <a16:creationId xmlns:a16="http://schemas.microsoft.com/office/drawing/2014/main" id="{78851E5C-4303-2C8C-7861-64F1E255166E}"/>
            </a:ext>
          </a:extLst>
        </xdr:cNvPr>
        <xdr:cNvSpPr txBox="1"/>
      </xdr:nvSpPr>
      <xdr:spPr>
        <a:xfrm>
          <a:off x="9525" y="219075"/>
          <a:ext cx="5267325" cy="8953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t>RemoteHealth </a:t>
          </a:r>
        </a:p>
        <a:p>
          <a:pPr algn="l"/>
          <a:r>
            <a:rPr lang="en-US" sz="2400" b="1"/>
            <a:t>Patient Health Risk Analysis Dashboard</a:t>
          </a:r>
        </a:p>
      </xdr:txBody>
    </xdr:sp>
    <xdr:clientData/>
  </xdr:twoCellAnchor>
  <xdr:twoCellAnchor>
    <xdr:from>
      <xdr:col>12</xdr:col>
      <xdr:colOff>342900</xdr:colOff>
      <xdr:row>13</xdr:row>
      <xdr:rowOff>28575</xdr:rowOff>
    </xdr:from>
    <xdr:to>
      <xdr:col>12</xdr:col>
      <xdr:colOff>400050</xdr:colOff>
      <xdr:row>13</xdr:row>
      <xdr:rowOff>74294</xdr:rowOff>
    </xdr:to>
    <xdr:sp macro="" textlink="">
      <xdr:nvSpPr>
        <xdr:cNvPr id="4" name="TextBox 3">
          <a:extLst>
            <a:ext uri="{FF2B5EF4-FFF2-40B4-BE49-F238E27FC236}">
              <a16:creationId xmlns:a16="http://schemas.microsoft.com/office/drawing/2014/main" id="{BB845F6D-AC96-3821-9E96-0E2FA06929A0}"/>
            </a:ext>
          </a:extLst>
        </xdr:cNvPr>
        <xdr:cNvSpPr txBox="1"/>
      </xdr:nvSpPr>
      <xdr:spPr>
        <a:xfrm>
          <a:off x="7658100" y="2505075"/>
          <a:ext cx="5715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8</xdr:col>
      <xdr:colOff>542926</xdr:colOff>
      <xdr:row>6</xdr:row>
      <xdr:rowOff>57150</xdr:rowOff>
    </xdr:from>
    <xdr:to>
      <xdr:col>17</xdr:col>
      <xdr:colOff>238126</xdr:colOff>
      <xdr:row>20</xdr:row>
      <xdr:rowOff>66675</xdr:rowOff>
    </xdr:to>
    <xdr:sp macro="" textlink="">
      <xdr:nvSpPr>
        <xdr:cNvPr id="5" name="Rectangle 4">
          <a:extLst>
            <a:ext uri="{FF2B5EF4-FFF2-40B4-BE49-F238E27FC236}">
              <a16:creationId xmlns:a16="http://schemas.microsoft.com/office/drawing/2014/main" id="{74442C21-45EB-97F8-20C2-405AB337567E}"/>
            </a:ext>
          </a:extLst>
        </xdr:cNvPr>
        <xdr:cNvSpPr/>
      </xdr:nvSpPr>
      <xdr:spPr>
        <a:xfrm>
          <a:off x="5419726" y="1200150"/>
          <a:ext cx="5181600" cy="2676525"/>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tx1"/>
              </a:solidFill>
              <a:effectLst/>
              <a:latin typeface="+mn-lt"/>
              <a:ea typeface="+mn-ea"/>
              <a:cs typeface="+mn-cs"/>
            </a:rPr>
            <a:t>Patient by Risk Category</a:t>
          </a:r>
          <a:r>
            <a:rPr lang="en-US" sz="1400" b="1">
              <a:effectLst/>
            </a:rPr>
            <a:t> </a:t>
          </a:r>
          <a:endParaRPr lang="en-US" sz="1400" b="1"/>
        </a:p>
      </xdr:txBody>
    </xdr:sp>
    <xdr:clientData/>
  </xdr:twoCellAnchor>
  <xdr:twoCellAnchor>
    <xdr:from>
      <xdr:col>8</xdr:col>
      <xdr:colOff>542926</xdr:colOff>
      <xdr:row>7</xdr:row>
      <xdr:rowOff>142875</xdr:rowOff>
    </xdr:from>
    <xdr:to>
      <xdr:col>17</xdr:col>
      <xdr:colOff>200025</xdr:colOff>
      <xdr:row>20</xdr:row>
      <xdr:rowOff>57150</xdr:rowOff>
    </xdr:to>
    <xdr:graphicFrame macro="">
      <xdr:nvGraphicFramePr>
        <xdr:cNvPr id="7" name="Chart 6">
          <a:extLst>
            <a:ext uri="{FF2B5EF4-FFF2-40B4-BE49-F238E27FC236}">
              <a16:creationId xmlns:a16="http://schemas.microsoft.com/office/drawing/2014/main" id="{88D7BD49-5136-4C78-A569-D425F0046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20</xdr:row>
      <xdr:rowOff>142874</xdr:rowOff>
    </xdr:from>
    <xdr:to>
      <xdr:col>8</xdr:col>
      <xdr:colOff>409575</xdr:colOff>
      <xdr:row>34</xdr:row>
      <xdr:rowOff>180975</xdr:rowOff>
    </xdr:to>
    <xdr:sp macro="" textlink="">
      <xdr:nvSpPr>
        <xdr:cNvPr id="8" name="Rectangle 7">
          <a:extLst>
            <a:ext uri="{FF2B5EF4-FFF2-40B4-BE49-F238E27FC236}">
              <a16:creationId xmlns:a16="http://schemas.microsoft.com/office/drawing/2014/main" id="{9EE650A4-5931-CF4C-707F-3F23915F3901}"/>
            </a:ext>
          </a:extLst>
        </xdr:cNvPr>
        <xdr:cNvSpPr/>
      </xdr:nvSpPr>
      <xdr:spPr>
        <a:xfrm>
          <a:off x="9525" y="3952874"/>
          <a:ext cx="5276850" cy="2705101"/>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baseline="0">
              <a:solidFill>
                <a:sysClr val="windowText" lastClr="000000"/>
              </a:solidFill>
              <a:effectLst/>
              <a:latin typeface="+mn-lt"/>
              <a:ea typeface="+mn-ea"/>
              <a:cs typeface="+mn-cs"/>
            </a:rPr>
            <a:t>Risk by Age Group</a:t>
          </a:r>
          <a:endParaRPr lang="en-US" sz="1400" b="1">
            <a:solidFill>
              <a:sysClr val="windowText" lastClr="000000"/>
            </a:solidFill>
            <a:effectLst/>
          </a:endParaRPr>
        </a:p>
        <a:p>
          <a:pPr algn="l"/>
          <a:endParaRPr lang="en-US" sz="1100"/>
        </a:p>
      </xdr:txBody>
    </xdr:sp>
    <xdr:clientData/>
  </xdr:twoCellAnchor>
  <xdr:twoCellAnchor>
    <xdr:from>
      <xdr:col>0</xdr:col>
      <xdr:colOff>19049</xdr:colOff>
      <xdr:row>22</xdr:row>
      <xdr:rowOff>85726</xdr:rowOff>
    </xdr:from>
    <xdr:to>
      <xdr:col>8</xdr:col>
      <xdr:colOff>419100</xdr:colOff>
      <xdr:row>34</xdr:row>
      <xdr:rowOff>161925</xdr:rowOff>
    </xdr:to>
    <xdr:graphicFrame macro="">
      <xdr:nvGraphicFramePr>
        <xdr:cNvPr id="10" name="Chart 9">
          <a:extLst>
            <a:ext uri="{FF2B5EF4-FFF2-40B4-BE49-F238E27FC236}">
              <a16:creationId xmlns:a16="http://schemas.microsoft.com/office/drawing/2014/main" id="{8BF1F6EB-52F6-4403-B6B3-D06E48937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552449</xdr:colOff>
      <xdr:row>20</xdr:row>
      <xdr:rowOff>142875</xdr:rowOff>
    </xdr:from>
    <xdr:to>
      <xdr:col>17</xdr:col>
      <xdr:colOff>238125</xdr:colOff>
      <xdr:row>35</xdr:row>
      <xdr:rowOff>0</xdr:rowOff>
    </xdr:to>
    <xdr:sp macro="" textlink="">
      <xdr:nvSpPr>
        <xdr:cNvPr id="11" name="Rectangle 10">
          <a:extLst>
            <a:ext uri="{FF2B5EF4-FFF2-40B4-BE49-F238E27FC236}">
              <a16:creationId xmlns:a16="http://schemas.microsoft.com/office/drawing/2014/main" id="{7924E706-0575-3880-84FB-FA2900328A58}"/>
            </a:ext>
          </a:extLst>
        </xdr:cNvPr>
        <xdr:cNvSpPr/>
      </xdr:nvSpPr>
      <xdr:spPr>
        <a:xfrm>
          <a:off x="5429249" y="3952875"/>
          <a:ext cx="5172076" cy="2714625"/>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r>
            <a:rPr lang="en-US" sz="1400" b="0" i="0" u="none" strike="noStrike">
              <a:solidFill>
                <a:sysClr val="windowText" lastClr="000000"/>
              </a:solidFill>
              <a:effectLst/>
              <a:latin typeface="+mn-lt"/>
              <a:ea typeface="+mn-ea"/>
              <a:cs typeface="+mn-cs"/>
            </a:rPr>
            <a:t>Risk by Chronic Condition</a:t>
          </a:r>
          <a:r>
            <a:rPr lang="en-US" sz="1400" b="0">
              <a:solidFill>
                <a:sysClr val="windowText" lastClr="000000"/>
              </a:solidFill>
              <a:effectLst/>
            </a:rPr>
            <a:t> </a:t>
          </a:r>
          <a:endParaRPr lang="en-US" sz="1400" b="0">
            <a:solidFill>
              <a:sysClr val="windowText" lastClr="000000"/>
            </a:solidFill>
          </a:endParaRPr>
        </a:p>
      </xdr:txBody>
    </xdr:sp>
    <xdr:clientData/>
  </xdr:twoCellAnchor>
  <xdr:twoCellAnchor>
    <xdr:from>
      <xdr:col>8</xdr:col>
      <xdr:colOff>571499</xdr:colOff>
      <xdr:row>22</xdr:row>
      <xdr:rowOff>66675</xdr:rowOff>
    </xdr:from>
    <xdr:to>
      <xdr:col>17</xdr:col>
      <xdr:colOff>219075</xdr:colOff>
      <xdr:row>35</xdr:row>
      <xdr:rowOff>9524</xdr:rowOff>
    </xdr:to>
    <xdr:graphicFrame macro="">
      <xdr:nvGraphicFramePr>
        <xdr:cNvPr id="12" name="Chart 11">
          <a:extLst>
            <a:ext uri="{FF2B5EF4-FFF2-40B4-BE49-F238E27FC236}">
              <a16:creationId xmlns:a16="http://schemas.microsoft.com/office/drawing/2014/main" id="{B9DB8262-20FC-4095-8014-79FEE0792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6</xdr:row>
      <xdr:rowOff>47624</xdr:rowOff>
    </xdr:from>
    <xdr:to>
      <xdr:col>8</xdr:col>
      <xdr:colOff>409574</xdr:colOff>
      <xdr:row>20</xdr:row>
      <xdr:rowOff>85725</xdr:rowOff>
    </xdr:to>
    <xdr:sp macro="" textlink="">
      <xdr:nvSpPr>
        <xdr:cNvPr id="15" name="Rectangle 14">
          <a:extLst>
            <a:ext uri="{FF2B5EF4-FFF2-40B4-BE49-F238E27FC236}">
              <a16:creationId xmlns:a16="http://schemas.microsoft.com/office/drawing/2014/main" id="{4A54E520-8548-F677-CE3E-1D40819115ED}"/>
            </a:ext>
          </a:extLst>
        </xdr:cNvPr>
        <xdr:cNvSpPr/>
      </xdr:nvSpPr>
      <xdr:spPr>
        <a:xfrm>
          <a:off x="9525" y="1190624"/>
          <a:ext cx="5276849" cy="2705101"/>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142873</xdr:colOff>
      <xdr:row>7</xdr:row>
      <xdr:rowOff>104775</xdr:rowOff>
    </xdr:from>
    <xdr:to>
      <xdr:col>8</xdr:col>
      <xdr:colOff>276225</xdr:colOff>
      <xdr:row>13</xdr:row>
      <xdr:rowOff>142875</xdr:rowOff>
    </xdr:to>
    <xdr:sp macro="" textlink="">
      <xdr:nvSpPr>
        <xdr:cNvPr id="16" name="TextBox 15">
          <a:extLst>
            <a:ext uri="{FF2B5EF4-FFF2-40B4-BE49-F238E27FC236}">
              <a16:creationId xmlns:a16="http://schemas.microsoft.com/office/drawing/2014/main" id="{C72406B9-7B83-98A5-B219-18723F9CCD1D}"/>
            </a:ext>
          </a:extLst>
        </xdr:cNvPr>
        <xdr:cNvSpPr txBox="1"/>
      </xdr:nvSpPr>
      <xdr:spPr>
        <a:xfrm>
          <a:off x="142873" y="1438275"/>
          <a:ext cx="5010152" cy="1181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Patients</a:t>
          </a:r>
        </a:p>
        <a:p>
          <a:pPr algn="ctr"/>
          <a:r>
            <a:rPr lang="en-US" sz="1400" b="1"/>
            <a:t>7</a:t>
          </a:r>
        </a:p>
      </xdr:txBody>
    </xdr:sp>
    <xdr:clientData/>
  </xdr:twoCellAnchor>
  <xdr:twoCellAnchor>
    <xdr:from>
      <xdr:col>0</xdr:col>
      <xdr:colOff>152399</xdr:colOff>
      <xdr:row>14</xdr:row>
      <xdr:rowOff>0</xdr:rowOff>
    </xdr:from>
    <xdr:to>
      <xdr:col>8</xdr:col>
      <xdr:colOff>276224</xdr:colOff>
      <xdr:row>19</xdr:row>
      <xdr:rowOff>171450</xdr:rowOff>
    </xdr:to>
    <xdr:sp macro="" textlink="">
      <xdr:nvSpPr>
        <xdr:cNvPr id="17" name="TextBox 16">
          <a:extLst>
            <a:ext uri="{FF2B5EF4-FFF2-40B4-BE49-F238E27FC236}">
              <a16:creationId xmlns:a16="http://schemas.microsoft.com/office/drawing/2014/main" id="{4274CE79-8B96-7283-D72F-C620A067008C}"/>
            </a:ext>
          </a:extLst>
        </xdr:cNvPr>
        <xdr:cNvSpPr txBox="1"/>
      </xdr:nvSpPr>
      <xdr:spPr>
        <a:xfrm>
          <a:off x="152399" y="2667000"/>
          <a:ext cx="5000625" cy="112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High</a:t>
          </a:r>
          <a:r>
            <a:rPr lang="en-US" sz="1400" b="1" baseline="0"/>
            <a:t> </a:t>
          </a:r>
          <a:r>
            <a:rPr lang="en-US" sz="1400" b="1"/>
            <a:t>Risk Patients</a:t>
          </a:r>
        </a:p>
        <a:p>
          <a:pPr algn="ctr"/>
          <a:r>
            <a:rPr lang="en-US" sz="1400" b="1"/>
            <a:t>1</a:t>
          </a:r>
        </a:p>
      </xdr:txBody>
    </xdr:sp>
    <xdr:clientData/>
  </xdr:twoCellAnchor>
  <xdr:oneCellAnchor>
    <xdr:from>
      <xdr:col>20</xdr:col>
      <xdr:colOff>219075</xdr:colOff>
      <xdr:row>18</xdr:row>
      <xdr:rowOff>76200</xdr:rowOff>
    </xdr:from>
    <xdr:ext cx="184731" cy="264560"/>
    <xdr:sp macro="" textlink="">
      <xdr:nvSpPr>
        <xdr:cNvPr id="18" name="TextBox 17">
          <a:extLst>
            <a:ext uri="{FF2B5EF4-FFF2-40B4-BE49-F238E27FC236}">
              <a16:creationId xmlns:a16="http://schemas.microsoft.com/office/drawing/2014/main" id="{6947C416-9069-F3EF-D215-319A78184402}"/>
            </a:ext>
          </a:extLst>
        </xdr:cNvPr>
        <xdr:cNvSpPr txBox="1"/>
      </xdr:nvSpPr>
      <xdr:spPr>
        <a:xfrm>
          <a:off x="12411075" y="3505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542925</xdr:colOff>
      <xdr:row>1</xdr:row>
      <xdr:rowOff>9525</xdr:rowOff>
    </xdr:from>
    <xdr:to>
      <xdr:col>17</xdr:col>
      <xdr:colOff>247650</xdr:colOff>
      <xdr:row>5</xdr:row>
      <xdr:rowOff>171451</xdr:rowOff>
    </xdr:to>
    <xdr:sp macro="" textlink="">
      <xdr:nvSpPr>
        <xdr:cNvPr id="21" name="Rectangle 20">
          <a:extLst>
            <a:ext uri="{FF2B5EF4-FFF2-40B4-BE49-F238E27FC236}">
              <a16:creationId xmlns:a16="http://schemas.microsoft.com/office/drawing/2014/main" id="{CD7E0198-A957-AEBD-CDE4-879ADB3D1EC8}"/>
            </a:ext>
          </a:extLst>
        </xdr:cNvPr>
        <xdr:cNvSpPr/>
      </xdr:nvSpPr>
      <xdr:spPr>
        <a:xfrm>
          <a:off x="5419725" y="200025"/>
          <a:ext cx="5191125" cy="923926"/>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editAs="oneCell">
    <xdr:from>
      <xdr:col>8</xdr:col>
      <xdr:colOff>533400</xdr:colOff>
      <xdr:row>1</xdr:row>
      <xdr:rowOff>9525</xdr:rowOff>
    </xdr:from>
    <xdr:to>
      <xdr:col>11</xdr:col>
      <xdr:colOff>600075</xdr:colOff>
      <xdr:row>5</xdr:row>
      <xdr:rowOff>161925</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CDB19134-5DC8-64DC-4970-AF17C9444BF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10200" y="200025"/>
              <a:ext cx="1895475"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47626</xdr:colOff>
      <xdr:row>1</xdr:row>
      <xdr:rowOff>0</xdr:rowOff>
    </xdr:from>
    <xdr:to>
      <xdr:col>17</xdr:col>
      <xdr:colOff>247650</xdr:colOff>
      <xdr:row>5</xdr:row>
      <xdr:rowOff>161925</xdr:rowOff>
    </xdr:to>
    <mc:AlternateContent xmlns:mc="http://schemas.openxmlformats.org/markup-compatibility/2006" xmlns:a14="http://schemas.microsoft.com/office/drawing/2010/main">
      <mc:Choice Requires="a14">
        <xdr:graphicFrame macro="">
          <xdr:nvGraphicFramePr>
            <xdr:cNvPr id="22" name="Age">
              <a:extLst>
                <a:ext uri="{FF2B5EF4-FFF2-40B4-BE49-F238E27FC236}">
                  <a16:creationId xmlns:a16="http://schemas.microsoft.com/office/drawing/2014/main" id="{BBCBF036-2398-21FA-4B53-451543F8AA1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191626" y="190500"/>
              <a:ext cx="1419224"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xdr:colOff>
      <xdr:row>1</xdr:row>
      <xdr:rowOff>19050</xdr:rowOff>
    </xdr:from>
    <xdr:to>
      <xdr:col>15</xdr:col>
      <xdr:colOff>28575</xdr:colOff>
      <xdr:row>5</xdr:row>
      <xdr:rowOff>171450</xdr:rowOff>
    </xdr:to>
    <mc:AlternateContent xmlns:mc="http://schemas.openxmlformats.org/markup-compatibility/2006" xmlns:a14="http://schemas.microsoft.com/office/drawing/2010/main">
      <mc:Choice Requires="a14">
        <xdr:graphicFrame macro="">
          <xdr:nvGraphicFramePr>
            <xdr:cNvPr id="23" name="Location">
              <a:extLst>
                <a:ext uri="{FF2B5EF4-FFF2-40B4-BE49-F238E27FC236}">
                  <a16:creationId xmlns:a16="http://schemas.microsoft.com/office/drawing/2014/main" id="{CA072B03-E6BB-2CF8-D5F3-8929F2C15E1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343775" y="20955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el" refreshedDate="46062.946941435184" createdVersion="8" refreshedVersion="8" minRefreshableVersion="3" recordCount="7" xr:uid="{1EA13E21-87FE-47EF-858E-3CEAA476B4CE}">
  <cacheSource type="worksheet">
    <worksheetSource name="Table2"/>
  </cacheSource>
  <cacheFields count="16">
    <cacheField name="Patient ID" numFmtId="0">
      <sharedItems count="7">
        <s v="P001"/>
        <s v="P002"/>
        <s v="P003"/>
        <s v="P004"/>
        <s v="P005"/>
        <s v="P006"/>
        <s v="P007"/>
      </sharedItems>
    </cacheField>
    <cacheField name="Age" numFmtId="164">
      <sharedItems containsSemiMixedTypes="0" containsString="0" containsNumber="1" containsInteger="1" minValue="31" maxValue="72" count="7">
        <n v="67"/>
        <n v="45"/>
        <n v="31"/>
        <n v="72"/>
        <n v="58"/>
        <n v="39"/>
        <n v="64"/>
      </sharedItems>
    </cacheField>
    <cacheField name="Gender" numFmtId="49">
      <sharedItems/>
    </cacheField>
    <cacheField name="Location" numFmtId="49">
      <sharedItems/>
    </cacheField>
    <cacheField name="Chronic Condition" numFmtId="49">
      <sharedItems count="4">
        <s v="Hypertension"/>
        <s v="Diabetes"/>
        <s v="None"/>
        <s v="Heart Disease"/>
      </sharedItems>
    </cacheField>
    <cacheField name="Vitals ID" numFmtId="0">
      <sharedItems/>
    </cacheField>
    <cacheField name="Systolic BP" numFmtId="164">
      <sharedItems containsSemiMixedTypes="0" containsString="0" containsNumber="1" containsInteger="1" minValue="118" maxValue="165"/>
    </cacheField>
    <cacheField name="Diastolic BP" numFmtId="164">
      <sharedItems containsSemiMixedTypes="0" containsString="0" containsNumber="1" containsInteger="1" minValue="76" maxValue="102"/>
    </cacheField>
    <cacheField name="Heart Rate" numFmtId="164">
      <sharedItems containsSemiMixedTypes="0" containsString="0" containsNumber="1" containsInteger="1" minValue="72" maxValue="94"/>
    </cacheField>
    <cacheField name="Glucose Level" numFmtId="164">
      <sharedItems containsSemiMixedTypes="0" containsString="0" containsNumber="1" containsInteger="1" minValue="92" maxValue="185"/>
    </cacheField>
    <cacheField name="Record Date" numFmtId="14">
      <sharedItems containsSemiMixedTypes="0" containsNonDate="0" containsDate="1" containsString="0" minDate="2026-01-10T00:00:00" maxDate="2026-01-14T00:00:00"/>
    </cacheField>
    <cacheField name="High BP" numFmtId="164">
      <sharedItems containsSemiMixedTypes="0" containsString="0" containsNumber="1" containsInteger="1" minValue="0" maxValue="1"/>
    </cacheField>
    <cacheField name="Abnormal HeartRate" numFmtId="164">
      <sharedItems containsSemiMixedTypes="0" containsString="0" containsNumber="1" containsInteger="1" minValue="0" maxValue="0"/>
    </cacheField>
    <cacheField name="High Glucose" numFmtId="164">
      <sharedItems containsSemiMixedTypes="0" containsString="0" containsNumber="1" containsInteger="1" minValue="0" maxValue="1"/>
    </cacheField>
    <cacheField name="Abnormal Vitals" numFmtId="164">
      <sharedItems containsSemiMixedTypes="0" containsString="0" containsNumber="1" containsInteger="1" minValue="0" maxValue="2"/>
    </cacheField>
    <cacheField name="Risk Category" numFmtId="164">
      <sharedItems count="3">
        <s v="Medium Risk"/>
        <s v="Low Risk"/>
        <s v="High Risk"/>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el" refreshedDate="46062.965158333333" backgroundQuery="1" createdVersion="8" refreshedVersion="8" minRefreshableVersion="3" recordCount="0" supportSubquery="1" supportAdvancedDrill="1" xr:uid="{D29500FA-5A0C-4F62-9C71-0196202FC7E2}">
  <cacheSource type="external" connectionId="1"/>
  <cacheFields count="3">
    <cacheField name="[Measures].[Count of Patient ID]" caption="Count of Patient ID" numFmtId="0" hierarchy="19" level="32767"/>
    <cacheField name="[Table2].[Age Group].[Age Group]" caption="Age Group" numFmtId="0" hierarchy="11" level="1">
      <sharedItems count="3">
        <s v="30–39"/>
        <s v="40–59"/>
        <s v="60+"/>
      </sharedItems>
    </cacheField>
    <cacheField name="[Table2].[Risk Category].[Risk Category]" caption="Risk Category" numFmtId="0" hierarchy="16" level="1">
      <sharedItems count="3">
        <s v="High Risk"/>
        <s v="Low Risk"/>
        <s v="Medium Risk"/>
      </sharedItems>
    </cacheField>
  </cacheFields>
  <cacheHierarchies count="20">
    <cacheHierarchy uniqueName="[Table2].[Patient ID]" caption="Patient ID" attribute="1" defaultMemberUniqueName="[Table2].[Patient ID].[All]" allUniqueName="[Table2].[Patient ID].[All]" dimensionUniqueName="[Table2]" displayFolder="" count="0" memberValueDatatype="130" unbalanced="0"/>
    <cacheHierarchy uniqueName="[Table2].[Age]" caption="Age" attribute="1" defaultMemberUniqueName="[Table2].[Age].[All]" allUniqueName="[Table2].[Age].[All]" dimensionUniqueName="[Table2]" displayFolder="" count="2" memberValueDatatype="20" unbalanced="0"/>
    <cacheHierarchy uniqueName="[Table2].[Gender]" caption="Gender" attribute="1" defaultMemberUniqueName="[Table2].[Gender].[All]" allUniqueName="[Table2].[Gender].[All]" dimensionUniqueName="[Table2]" displayFolder="" count="0" memberValueDatatype="130" unbalanced="0"/>
    <cacheHierarchy uniqueName="[Table2].[Location]" caption="Location" attribute="1" defaultMemberUniqueName="[Table2].[Location].[All]" allUniqueName="[Table2].[Location].[All]" dimensionUniqueName="[Table2]" displayFolder="" count="0" memberValueDatatype="130" unbalanced="0"/>
    <cacheHierarchy uniqueName="[Table2].[Chronic Condition]" caption="Chronic Condition" attribute="1" defaultMemberUniqueName="[Table2].[Chronic Condition].[All]" allUniqueName="[Table2].[Chronic Condition].[All]" dimensionUniqueName="[Table2]" displayFolder="" count="0" memberValueDatatype="130" unbalanced="0"/>
    <cacheHierarchy uniqueName="[Table2].[Vitals ID]" caption="Vitals ID" attribute="1" defaultMemberUniqueName="[Table2].[Vitals ID].[All]" allUniqueName="[Table2].[Vitals ID].[All]" dimensionUniqueName="[Table2]" displayFolder="" count="0" memberValueDatatype="130" unbalanced="0"/>
    <cacheHierarchy uniqueName="[Table2].[Systolic BP]" caption="Systolic BP" attribute="1" defaultMemberUniqueName="[Table2].[Systolic BP].[All]" allUniqueName="[Table2].[Systolic BP].[All]" dimensionUniqueName="[Table2]" displayFolder="" count="0" memberValueDatatype="20" unbalanced="0"/>
    <cacheHierarchy uniqueName="[Table2].[Diastolic BP]" caption="Diastolic BP" attribute="1" defaultMemberUniqueName="[Table2].[Diastolic BP].[All]" allUniqueName="[Table2].[Diastolic BP].[All]" dimensionUniqueName="[Table2]" displayFolder="" count="0" memberValueDatatype="20" unbalanced="0"/>
    <cacheHierarchy uniqueName="[Table2].[Heart Rate]" caption="Heart Rate" attribute="1" defaultMemberUniqueName="[Table2].[Heart Rate].[All]" allUniqueName="[Table2].[Heart Rate].[All]" dimensionUniqueName="[Table2]" displayFolder="" count="0" memberValueDatatype="20" unbalanced="0"/>
    <cacheHierarchy uniqueName="[Table2].[Glucose Level]" caption="Glucose Level" attribute="1" defaultMemberUniqueName="[Table2].[Glucose Level].[All]" allUniqueName="[Table2].[Glucose Level].[All]" dimensionUniqueName="[Table2]" displayFolder="" count="0" memberValueDatatype="20" unbalanced="0"/>
    <cacheHierarchy uniqueName="[Table2].[Record Date]" caption="Record Date" attribute="1" time="1" defaultMemberUniqueName="[Table2].[Record Date].[All]" allUniqueName="[Table2].[Record Date].[All]" dimensionUniqueName="[Table2]" displayFolder="" count="0" memberValueDatatype="7" unbalanced="0"/>
    <cacheHierarchy uniqueName="[Table2].[Age Group]" caption="Age Group" attribute="1" defaultMemberUniqueName="[Table2].[Age Group].[All]" allUniqueName="[Table2].[Age Group].[All]" dimensionUniqueName="[Table2]" displayFolder="" count="2" memberValueDatatype="130" unbalanced="0">
      <fieldsUsage count="2">
        <fieldUsage x="-1"/>
        <fieldUsage x="1"/>
      </fieldsUsage>
    </cacheHierarchy>
    <cacheHierarchy uniqueName="[Table2].[High BP]" caption="High BP" attribute="1" defaultMemberUniqueName="[Table2].[High BP].[All]" allUniqueName="[Table2].[High BP].[All]" dimensionUniqueName="[Table2]" displayFolder="" count="0" memberValueDatatype="20" unbalanced="0"/>
    <cacheHierarchy uniqueName="[Table2].[Abnormal HeartRate]" caption="Abnormal HeartRate" attribute="1" defaultMemberUniqueName="[Table2].[Abnormal HeartRate].[All]" allUniqueName="[Table2].[Abnormal HeartRate].[All]" dimensionUniqueName="[Table2]" displayFolder="" count="0" memberValueDatatype="20" unbalanced="0"/>
    <cacheHierarchy uniqueName="[Table2].[High Glucose]" caption="High Glucose" attribute="1" defaultMemberUniqueName="[Table2].[High Glucose].[All]" allUniqueName="[Table2].[High Glucose].[All]" dimensionUniqueName="[Table2]" displayFolder="" count="0" memberValueDatatype="20" unbalanced="0"/>
    <cacheHierarchy uniqueName="[Table2].[Abnormal Vitals]" caption="Abnormal Vitals" attribute="1" defaultMemberUniqueName="[Table2].[Abnormal Vitals].[All]" allUniqueName="[Table2].[Abnormal Vitals].[All]" dimensionUniqueName="[Table2]" displayFolder="" count="2" memberValueDatatype="20" unbalanced="0"/>
    <cacheHierarchy uniqueName="[Table2].[Risk Category]" caption="Risk Category" attribute="1" defaultMemberUniqueName="[Table2].[Risk Category].[All]" allUniqueName="[Table2].[Risk Category].[All]" dimensionUniqueName="[Table2]" displayFolder="" count="2" memberValueDatatype="130" unbalanced="0">
      <fieldsUsage count="2">
        <fieldUsage x="-1"/>
        <fieldUsage x="2"/>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chel" refreshedDate="46063.027610069446" backgroundQuery="1" createdVersion="3" refreshedVersion="8" minRefreshableVersion="3" recordCount="0" supportSubquery="1" supportAdvancedDrill="1" xr:uid="{AA85BA43-CAC6-4FC5-B16B-754E31A92D4E}">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Measures]" caption="Measures" attribute="1" keyAttribute="1" defaultMemberUniqueName="[Measures].[__No measures defined]" dimensionUniqueName="[Measures]" displayFolder="" measures="1" count="1" memberValueDatatype="130" unbalanced="0"/>
    <cacheHierarchy uniqueName="[Table2].[Patient ID]" caption="Patient ID" attribute="1" defaultMemberUniqueName="[Table2].[Patient ID].[All]" allUniqueName="[Table2].[Patient ID].[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Table2].[Gender]" caption="Gender" attribute="1" defaultMemberUniqueName="[Table2].[Gender].[All]" allUniqueName="[Table2].[Gender].[All]" dimensionUniqueName="[Table2]" displayFolder="" count="2" memberValueDatatype="130" unbalanced="0"/>
    <cacheHierarchy uniqueName="[Table2].[Location]" caption="Location" attribute="1" defaultMemberUniqueName="[Table2].[Location].[All]" allUniqueName="[Table2].[Location].[All]" dimensionUniqueName="[Table2]" displayFolder="" count="2" memberValueDatatype="130" unbalanced="0"/>
    <cacheHierarchy uniqueName="[Table2].[Chronic Condition]" caption="Chronic Condition" attribute="1" defaultMemberUniqueName="[Table2].[Chronic Condition].[All]" allUniqueName="[Table2].[Chronic Condition].[All]" dimensionUniqueName="[Table2]" displayFolder="" count="2" memberValueDatatype="130" unbalanced="0"/>
    <cacheHierarchy uniqueName="[Table2].[Vitals ID]" caption="Vitals ID" attribute="1" defaultMemberUniqueName="[Table2].[Vitals ID].[All]" allUniqueName="[Table2].[Vitals ID].[All]" dimensionUniqueName="[Table2]" displayFolder="" count="2" memberValueDatatype="130" unbalanced="0"/>
    <cacheHierarchy uniqueName="[Table2].[Systolic BP]" caption="Systolic BP" attribute="1" defaultMemberUniqueName="[Table2].[Systolic BP].[All]" allUniqueName="[Table2].[Systolic BP].[All]" dimensionUniqueName="[Table2]" displayFolder="" count="2" memberValueDatatype="20" unbalanced="0"/>
    <cacheHierarchy uniqueName="[Table2].[Diastolic BP]" caption="Diastolic BP" attribute="1" defaultMemberUniqueName="[Table2].[Diastolic BP].[All]" allUniqueName="[Table2].[Diastolic BP].[All]" dimensionUniqueName="[Table2]" displayFolder="" count="2" memberValueDatatype="20" unbalanced="0"/>
    <cacheHierarchy uniqueName="[Table2].[Heart Rate]" caption="Heart Rate" attribute="1" defaultMemberUniqueName="[Table2].[Heart Rate].[All]" allUniqueName="[Table2].[Heart Rate].[All]" dimensionUniqueName="[Table2]" displayFolder="" count="2" memberValueDatatype="20" unbalanced="0"/>
    <cacheHierarchy uniqueName="[Table2].[Glucose Level]" caption="Glucose Level" attribute="1" defaultMemberUniqueName="[Table2].[Glucose Level].[All]" allUniqueName="[Table2].[Glucose Level].[All]" dimensionUniqueName="[Table2]" displayFolder="" count="2" memberValueDatatype="20" unbalanced="0"/>
    <cacheHierarchy uniqueName="[Table2].[Record Date]" caption="Record Date" attribute="1" time="1" defaultMemberUniqueName="[Table2].[Record Date].[All]" allUniqueName="[Table2].[Record Date].[All]" dimensionUniqueName="[Table2]" displayFolder="" count="2" memberValueDatatype="7" unbalanced="0"/>
    <cacheHierarchy uniqueName="[Table2].[Age Group]" caption="Age Group" attribute="1" defaultMemberUniqueName="[Table2].[Age Group].[All]" allUniqueName="[Table2].[Age Group].[All]" dimensionUniqueName="[Table2]" displayFolder="" count="2" memberValueDatatype="130" unbalanced="0"/>
    <cacheHierarchy uniqueName="[Table2].[High BP]" caption="High BP" attribute="1" defaultMemberUniqueName="[Table2].[High BP].[All]" allUniqueName="[Table2].[High BP].[All]" dimensionUniqueName="[Table2]" displayFolder="" count="2" memberValueDatatype="20" unbalanced="0"/>
    <cacheHierarchy uniqueName="[Table2].[Abnormal HeartRate]" caption="Abnormal HeartRate" attribute="1" defaultMemberUniqueName="[Table2].[Abnormal HeartRate].[All]" allUniqueName="[Table2].[Abnormal HeartRate].[All]" dimensionUniqueName="[Table2]" displayFolder="" count="2" memberValueDatatype="20" unbalanced="0"/>
    <cacheHierarchy uniqueName="[Table2].[High Glucose]" caption="High Glucose" attribute="1" defaultMemberUniqueName="[Table2].[High Glucose].[All]" allUniqueName="[Table2].[High Glucose].[All]" dimensionUniqueName="[Table2]" displayFolder="" count="2" memberValueDatatype="20" unbalanced="0"/>
    <cacheHierarchy uniqueName="[Table2].[Abnormal Vitals]" caption="Abnormal Vitals" attribute="1" defaultMemberUniqueName="[Table2].[Abnormal Vitals].[All]" allUniqueName="[Table2].[Abnormal Vitals].[All]" dimensionUniqueName="[Table2]" displayFolder="" count="2" memberValueDatatype="20" unbalanced="0"/>
    <cacheHierarchy uniqueName="[Table2].[Risk Category]" caption="Risk Category" attribute="1" defaultMemberUniqueName="[Table2].[Risk Category].[All]" allUniqueName="[Table2].[Risk Category].[All]" dimensionUniqueName="[Table2]" displayFolder="" count="2"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tient ID]" caption="Count of Patient ID" measure="1" displayFolder="" measureGroup="Table2"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licerData="1" pivotCacheId="18386278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s v="Female"/>
    <s v="Lagos"/>
    <x v="0"/>
    <s v="V001"/>
    <n v="155"/>
    <n v="95"/>
    <n v="90"/>
    <n v="112"/>
    <d v="2026-01-10T00:00:00"/>
    <n v="1"/>
    <n v="0"/>
    <n v="0"/>
    <n v="1"/>
    <x v="0"/>
  </r>
  <r>
    <x v="1"/>
    <x v="1"/>
    <s v="Male"/>
    <s v="Abuja"/>
    <x v="1"/>
    <s v="V002"/>
    <n v="138"/>
    <n v="88"/>
    <n v="94"/>
    <n v="185"/>
    <d v="2026-01-10T00:00:00"/>
    <n v="0"/>
    <n v="0"/>
    <n v="1"/>
    <n v="1"/>
    <x v="0"/>
  </r>
  <r>
    <x v="2"/>
    <x v="2"/>
    <s v="Female"/>
    <s v="Port Harcourt"/>
    <x v="2"/>
    <s v="V003"/>
    <n v="120"/>
    <n v="80"/>
    <n v="75"/>
    <n v="96"/>
    <d v="2026-01-11T00:00:00"/>
    <n v="0"/>
    <n v="0"/>
    <n v="0"/>
    <n v="0"/>
    <x v="1"/>
  </r>
  <r>
    <x v="3"/>
    <x v="3"/>
    <s v="Male"/>
    <s v="Ibadan"/>
    <x v="3"/>
    <s v="V004"/>
    <n v="165"/>
    <n v="102"/>
    <n v="92"/>
    <n v="125"/>
    <d v="2026-01-11T00:00:00"/>
    <n v="1"/>
    <n v="0"/>
    <n v="0"/>
    <n v="1"/>
    <x v="0"/>
  </r>
  <r>
    <x v="4"/>
    <x v="4"/>
    <s v="Female"/>
    <s v="Enugu"/>
    <x v="0"/>
    <s v="V005"/>
    <n v="148"/>
    <n v="92"/>
    <n v="88"/>
    <n v="108"/>
    <d v="2026-01-12T00:00:00"/>
    <n v="1"/>
    <n v="0"/>
    <n v="0"/>
    <n v="1"/>
    <x v="0"/>
  </r>
  <r>
    <x v="5"/>
    <x v="5"/>
    <s v="Male"/>
    <s v="Uyo"/>
    <x v="2"/>
    <s v="V006"/>
    <n v="118"/>
    <n v="76"/>
    <n v="72"/>
    <n v="92"/>
    <d v="2026-01-12T00:00:00"/>
    <n v="0"/>
    <n v="0"/>
    <n v="0"/>
    <n v="0"/>
    <x v="1"/>
  </r>
  <r>
    <x v="6"/>
    <x v="6"/>
    <s v="Female"/>
    <s v="Owerri"/>
    <x v="1"/>
    <s v="V007"/>
    <n v="142"/>
    <n v="90"/>
    <n v="85"/>
    <n v="178"/>
    <d v="2026-01-13T00:00:00"/>
    <n v="1"/>
    <n v="0"/>
    <n v="1"/>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C997F0-8EAB-44F8-83C5-007C105BC34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E28" firstHeaderRow="1" firstDataRow="2" firstDataCol="1"/>
  <pivotFields count="16">
    <pivotField dataField="1" showAll="0"/>
    <pivotField numFmtId="164" showAll="0"/>
    <pivotField showAll="0"/>
    <pivotField showAll="0"/>
    <pivotField axis="axisRow" showAll="0">
      <items count="5">
        <item x="1"/>
        <item x="3"/>
        <item x="0"/>
        <item x="2"/>
        <item t="default"/>
      </items>
    </pivotField>
    <pivotField showAll="0"/>
    <pivotField numFmtId="164" showAll="0"/>
    <pivotField numFmtId="164" showAll="0"/>
    <pivotField numFmtId="164" showAll="0"/>
    <pivotField numFmtId="164" showAll="0"/>
    <pivotField numFmtId="14" showAll="0"/>
    <pivotField numFmtId="164" showAll="0"/>
    <pivotField numFmtId="164" showAll="0"/>
    <pivotField numFmtId="164" showAll="0"/>
    <pivotField numFmtId="164" showAll="0"/>
    <pivotField axis="axisCol" showAll="0">
      <items count="4">
        <item x="2"/>
        <item x="1"/>
        <item x="0"/>
        <item t="default"/>
      </items>
    </pivotField>
  </pivotFields>
  <rowFields count="1">
    <field x="4"/>
  </rowFields>
  <rowItems count="5">
    <i>
      <x/>
    </i>
    <i>
      <x v="1"/>
    </i>
    <i>
      <x v="2"/>
    </i>
    <i>
      <x v="3"/>
    </i>
    <i t="grand">
      <x/>
    </i>
  </rowItems>
  <colFields count="1">
    <field x="15"/>
  </colFields>
  <colItems count="4">
    <i>
      <x/>
    </i>
    <i>
      <x v="1"/>
    </i>
    <i>
      <x v="2"/>
    </i>
    <i t="grand">
      <x/>
    </i>
  </colItems>
  <dataFields count="1">
    <dataField name="Count of Patient ID" fld="0" subtotal="count" baseField="0" baseItem="0"/>
  </dataFields>
  <chartFormats count="3">
    <chartFormat chart="3" format="6" series="1">
      <pivotArea type="data" outline="0" fieldPosition="0">
        <references count="2">
          <reference field="4294967294" count="1" selected="0">
            <x v="0"/>
          </reference>
          <reference field="15" count="1" selected="0">
            <x v="0"/>
          </reference>
        </references>
      </pivotArea>
    </chartFormat>
    <chartFormat chart="3" format="7" series="1">
      <pivotArea type="data" outline="0" fieldPosition="0">
        <references count="2">
          <reference field="4294967294" count="1" selected="0">
            <x v="0"/>
          </reference>
          <reference field="15" count="1" selected="0">
            <x v="1"/>
          </reference>
        </references>
      </pivotArea>
    </chartFormat>
    <chartFormat chart="3"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70521C-03A6-41C0-8689-0EA8BE61279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E17" firstHeaderRow="1" firstDataRow="2"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s>
  <rowFields count="1">
    <field x="1"/>
  </rowFields>
  <rowItems count="4">
    <i>
      <x/>
    </i>
    <i>
      <x v="1"/>
    </i>
    <i>
      <x v="2"/>
    </i>
    <i t="grand">
      <x/>
    </i>
  </rowItems>
  <colFields count="1">
    <field x="2"/>
  </colFields>
  <colItems count="4">
    <i>
      <x/>
    </i>
    <i>
      <x v="1"/>
    </i>
    <i>
      <x v="2"/>
    </i>
    <i t="grand">
      <x/>
    </i>
  </colItems>
  <dataFields count="1">
    <dataField name="Count of Patient ID" fld="0" subtotal="count" baseField="0" baseItem="0"/>
  </dataFields>
  <chartFormats count="3">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EDE250-8261-4915-ABEE-C8B209EA76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16">
    <pivotField dataField="1" showAll="0">
      <items count="8">
        <item x="0"/>
        <item x="1"/>
        <item x="2"/>
        <item x="3"/>
        <item x="4"/>
        <item x="5"/>
        <item x="6"/>
        <item t="default"/>
      </items>
    </pivotField>
    <pivotField numFmtId="164" showAll="0"/>
    <pivotField showAll="0"/>
    <pivotField showAll="0"/>
    <pivotField showAll="0"/>
    <pivotField showAll="0"/>
    <pivotField numFmtId="164" showAll="0"/>
    <pivotField numFmtId="164" showAll="0"/>
    <pivotField numFmtId="164" showAll="0"/>
    <pivotField numFmtId="164" showAll="0"/>
    <pivotField numFmtId="14" showAll="0"/>
    <pivotField numFmtId="164" showAll="0"/>
    <pivotField numFmtId="164" showAll="0"/>
    <pivotField numFmtId="164" showAll="0"/>
    <pivotField numFmtId="164" showAll="0"/>
    <pivotField axis="axisRow" showAll="0">
      <items count="4">
        <item x="2"/>
        <item x="1"/>
        <item x="0"/>
        <item t="default"/>
      </items>
    </pivotField>
  </pivotFields>
  <rowFields count="1">
    <field x="15"/>
  </rowFields>
  <rowItems count="4">
    <i>
      <x/>
    </i>
    <i>
      <x v="1"/>
    </i>
    <i>
      <x v="2"/>
    </i>
    <i t="grand">
      <x/>
    </i>
  </rowItems>
  <colItems count="1">
    <i/>
  </colItems>
  <dataFields count="1">
    <dataField name="Count of Patient ID" fld="0" subtotal="count" baseField="0" baseItem="0"/>
  </dataFields>
  <chartFormats count="1">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EB5151-5F51-4090-A16B-40E081EAFF88}" sourceName="[Table2].[Gender]">
  <data>
    <olap pivotCacheId="183862788">
      <levels count="2">
        <level uniqueName="[Table2].[Gender].[(All)]" sourceCaption="(All)" count="0"/>
        <level uniqueName="[Table2].[Gender].[Gender]" sourceCaption="Gender" count="2">
          <ranges>
            <range startItem="0">
              <i n="[Table2].[Gender].&amp;[Female]" c="Female"/>
              <i n="[Table2].[Gender].&amp;[Male]" c="Male"/>
            </range>
          </ranges>
        </level>
      </levels>
      <selections count="1">
        <selection n="[Table2].[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9D246D3-5EF8-4AF9-BFCA-98FD6DC83909}" sourceName="[Table2].[Age]">
  <data>
    <olap pivotCacheId="183862788">
      <levels count="2">
        <level uniqueName="[Table2].[Age].[(All)]" sourceCaption="(All)" count="0"/>
        <level uniqueName="[Table2].[Age].[Age]" sourceCaption="Age" count="7">
          <ranges>
            <range startItem="0">
              <i n="[Table2].[Age].&amp;[31]" c="31"/>
              <i n="[Table2].[Age].&amp;[39]" c="39"/>
              <i n="[Table2].[Age].&amp;[45]" c="45"/>
              <i n="[Table2].[Age].&amp;[58]" c="58"/>
              <i n="[Table2].[Age].&amp;[64]" c="64"/>
              <i n="[Table2].[Age].&amp;[67]" c="67"/>
              <i n="[Table2].[Age].&amp;[72]" c="72"/>
            </range>
          </ranges>
        </level>
      </levels>
      <selections count="1">
        <selection n="[Table2].[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85C0629-ECF7-4F24-9C6D-2E932B2B4979}" sourceName="[Table2].[Location]">
  <data>
    <olap pivotCacheId="183862788">
      <levels count="2">
        <level uniqueName="[Table2].[Location].[(All)]" sourceCaption="(All)" count="0"/>
        <level uniqueName="[Table2].[Location].[Location]" sourceCaption="Location" count="7">
          <ranges>
            <range startItem="0">
              <i n="[Table2].[Location].&amp;[Abuja]" c="Abuja"/>
              <i n="[Table2].[Location].&amp;[Enugu]" c="Enugu"/>
              <i n="[Table2].[Location].&amp;[Ibadan]" c="Ibadan"/>
              <i n="[Table2].[Location].&amp;[Lagos]" c="Lagos"/>
              <i n="[Table2].[Location].&amp;[Owerri]" c="Owerri"/>
              <i n="[Table2].[Location].&amp;[Port Harcourt]" c="Port Harcourt"/>
              <i n="[Table2].[Location].&amp;[Uyo]" c="Uyo"/>
            </range>
          </ranges>
        </level>
      </levels>
      <selections count="1">
        <selection n="[Table2].[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C5F615-E6E2-4891-B593-010C54EC24B3}" cache="Slicer_Gender" caption="Gender" level="1" rowHeight="257175"/>
  <slicer name="Age" xr10:uid="{0AD8201C-6B34-41B8-A307-5390AF9CC667}" cache="Slicer_Age" caption="Age" level="1" rowHeight="257175"/>
  <slicer name="Location" xr10:uid="{DFF504E8-B622-4340-96C3-3BD30727948B}" cache="Slicer_Location" caption="Location"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D3CB3B-83BC-4BF5-9362-F5180F2421F9}" name="Patients" displayName="Patients" ref="A1:E8" totalsRowShown="0" headerRowDxfId="43" dataDxfId="41" headerRowBorderDxfId="42" tableBorderDxfId="40" totalsRowBorderDxfId="39">
  <autoFilter ref="A1:E8" xr:uid="{B4D3CB3B-83BC-4BF5-9362-F5180F2421F9}"/>
  <tableColumns count="5">
    <tableColumn id="1" xr3:uid="{CE37733B-E595-461C-8A68-54687B337CC5}" name="Patient ID" dataDxfId="38"/>
    <tableColumn id="2" xr3:uid="{7CC054B4-9F68-4784-9E5F-D74C8CAB9A35}" name="Age" dataDxfId="37"/>
    <tableColumn id="3" xr3:uid="{A271506E-9703-4883-A2CF-C57F5DC2A424}" name="Gender" dataDxfId="36"/>
    <tableColumn id="4" xr3:uid="{6764A785-ADD2-499D-9D93-07334355F7B7}" name="Location" dataDxfId="35"/>
    <tableColumn id="5" xr3:uid="{4829A2DA-14F8-429D-B610-D1EFD708D3C9}" name="Chronic Condition"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D231AD-CBA7-4FFD-B19C-FF9618A52608}" name="Vitals" displayName="Vitals" ref="A1:G8" totalsRowShown="0" headerRowDxfId="33" dataDxfId="31" headerRowBorderDxfId="32" tableBorderDxfId="30" totalsRowBorderDxfId="29">
  <autoFilter ref="A1:G8" xr:uid="{01D231AD-CBA7-4FFD-B19C-FF9618A52608}"/>
  <tableColumns count="7">
    <tableColumn id="1" xr3:uid="{EFC33341-DBFF-4144-AAE2-1EA9D4D7CE88}" name="Vitals ID" dataDxfId="28"/>
    <tableColumn id="2" xr3:uid="{6E6A9556-45A6-47BF-B349-D6EABDF24E62}" name="Patient ID" dataDxfId="27"/>
    <tableColumn id="3" xr3:uid="{6237F491-231A-4D73-BB4E-3A298754F33E}" name="Systolic BP" dataDxfId="26"/>
    <tableColumn id="4" xr3:uid="{0AFF4944-814A-4845-85D1-73739C554767}" name="Diastolic BP" dataDxfId="25"/>
    <tableColumn id="5" xr3:uid="{98151C68-A7C8-40D6-866F-38E68D625F76}" name="Heart Rate" dataDxfId="24"/>
    <tableColumn id="6" xr3:uid="{1F170CD6-471B-4477-A5CC-F16E80049B88}" name="Glucose Level" dataDxfId="23"/>
    <tableColumn id="7" xr3:uid="{2D4DF076-4D1D-4407-BD86-D39F7150173C}" name="Record Date"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0641F-A6E9-4FDE-BD77-EF2B2A5BB2D6}" name="Table2" displayName="Table2" ref="A1:Q8" totalsRowShown="0" headerRowDxfId="21" dataDxfId="19" headerRowBorderDxfId="20" tableBorderDxfId="18" totalsRowBorderDxfId="17">
  <autoFilter ref="A1:Q8" xr:uid="{AC00641F-A6E9-4FDE-BD77-EF2B2A5BB2D6}"/>
  <tableColumns count="17">
    <tableColumn id="1" xr3:uid="{608F68F8-9A3E-4662-A869-67DE2C54D097}" name="Patient ID" dataDxfId="16"/>
    <tableColumn id="2" xr3:uid="{F9204CD1-1762-4098-B467-E55234DED71E}" name="Age" dataDxfId="15"/>
    <tableColumn id="3" xr3:uid="{E4E30605-E8D8-48E6-A538-2D3E580BF128}" name="Gender" dataDxfId="14"/>
    <tableColumn id="4" xr3:uid="{C2BAB6A8-211A-4855-A420-2CAE5629822A}" name="Location" dataDxfId="13"/>
    <tableColumn id="5" xr3:uid="{776F4A87-B1F1-48A5-9710-3D51203658F3}" name="Chronic Condition" dataDxfId="12"/>
    <tableColumn id="6" xr3:uid="{03A08762-63EF-4700-84C4-0C2F3FADB6D2}" name="Vitals ID" dataDxfId="11"/>
    <tableColumn id="7" xr3:uid="{7119C6A4-C901-4FAE-A639-30A6E72F9A65}" name="Systolic BP" dataDxfId="10"/>
    <tableColumn id="8" xr3:uid="{047DF80B-107F-41EF-8CE2-0E7C34EAC271}" name="Diastolic BP" dataDxfId="9"/>
    <tableColumn id="9" xr3:uid="{894ED96A-3E07-4985-9668-E4E61CDC5DF2}" name="Heart Rate" dataDxfId="8"/>
    <tableColumn id="10" xr3:uid="{BB65F2C1-96F9-478D-B1AF-F96610FA2431}" name="Glucose Level" dataDxfId="7"/>
    <tableColumn id="11" xr3:uid="{D08D3661-4313-4B4C-9F65-FA82E5897262}" name="Record Date" dataDxfId="6"/>
    <tableColumn id="18" xr3:uid="{BD0228C2-9D49-40BB-9F8E-527D4C550220}" name="Age Group" dataDxfId="5">
      <calculatedColumnFormula>IF(Table2[[#This Row],[Age]]&lt;40,"30–39",
IF(Table2[[#This Row],[Age]]&lt;60,"40–59","60+"))</calculatedColumnFormula>
    </tableColumn>
    <tableColumn id="12" xr3:uid="{1D618309-A4AC-4EDD-A40F-CBD756FC2DBE}" name="High BP" dataDxfId="4">
      <calculatedColumnFormula>IF(OR(Table2[[#This Row],[Systolic BP]]&gt;=140,Table2[[#This Row],[Diastolic BP]]&gt;=90),1,0)</calculatedColumnFormula>
    </tableColumn>
    <tableColumn id="13" xr3:uid="{BF5CD61C-C150-4B0A-9079-CB493F67D100}" name="Abnormal HeartRate" dataDxfId="3">
      <calculatedColumnFormula>IF(OR(Table2[[#This Row],[Heart Rate]]&lt;60,Table2[[#This Row],[Heart Rate]]&gt;100),1,0)</calculatedColumnFormula>
    </tableColumn>
    <tableColumn id="14" xr3:uid="{6927D292-0E12-4372-9FB5-B3D09363FAEE}" name="High Glucose" dataDxfId="2">
      <calculatedColumnFormula>IF(Table2[[#This Row],[Glucose Level]]&gt;=140,1,0)</calculatedColumnFormula>
    </tableColumn>
    <tableColumn id="15" xr3:uid="{B8519E36-E09D-465D-82F6-0F3A51F78FE9}" name="Abnormal Vitals" dataDxfId="1">
      <calculatedColumnFormula>Table2[[#This Row],[High BP]]+Table2[[#This Row],[Abnormal HeartRate]]+Table2[[#This Row],[High Glucose]]</calculatedColumnFormula>
    </tableColumn>
    <tableColumn id="16" xr3:uid="{B182715D-7B4E-46C4-9944-246C9BC1F232}" name="Risk Category" dataDxfId="0">
      <calculatedColumnFormula>IF(Table2[[#This Row],[Abnormal Vitals]]=0,"Low Risk",
IF(Table2[[#This Row],[Abnormal Vitals]]=1,"Medium Risk","High Risk"))</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41D57-88AD-4250-8FA4-2D89AAC7323A}">
  <dimension ref="A1:E8"/>
  <sheetViews>
    <sheetView workbookViewId="0">
      <selection sqref="A1:E1"/>
    </sheetView>
  </sheetViews>
  <sheetFormatPr defaultRowHeight="15" x14ac:dyDescent="0.25"/>
  <cols>
    <col min="1" max="1" width="13" customWidth="1"/>
    <col min="2" max="2" width="7" customWidth="1"/>
    <col min="3" max="3" width="10.85546875" customWidth="1"/>
    <col min="4" max="4" width="11.85546875" customWidth="1"/>
    <col min="5" max="5" width="21.5703125" customWidth="1"/>
  </cols>
  <sheetData>
    <row r="1" spans="1:5" x14ac:dyDescent="0.25">
      <c r="A1" s="29" t="s">
        <v>0</v>
      </c>
      <c r="B1" s="30" t="s">
        <v>1</v>
      </c>
      <c r="C1" s="30" t="s">
        <v>2</v>
      </c>
      <c r="D1" s="30" t="s">
        <v>3</v>
      </c>
      <c r="E1" s="31" t="s">
        <v>4</v>
      </c>
    </row>
    <row r="2" spans="1:5" x14ac:dyDescent="0.25">
      <c r="A2" s="6" t="s">
        <v>5</v>
      </c>
      <c r="B2" s="1">
        <v>67</v>
      </c>
      <c r="C2" s="1" t="s">
        <v>6</v>
      </c>
      <c r="D2" s="1" t="s">
        <v>7</v>
      </c>
      <c r="E2" s="32" t="s">
        <v>8</v>
      </c>
    </row>
    <row r="3" spans="1:5" x14ac:dyDescent="0.25">
      <c r="A3" s="6" t="s">
        <v>9</v>
      </c>
      <c r="B3" s="1">
        <v>45</v>
      </c>
      <c r="C3" s="1" t="s">
        <v>10</v>
      </c>
      <c r="D3" s="1" t="s">
        <v>11</v>
      </c>
      <c r="E3" s="32" t="s">
        <v>12</v>
      </c>
    </row>
    <row r="4" spans="1:5" ht="28.5" x14ac:dyDescent="0.25">
      <c r="A4" s="6" t="s">
        <v>13</v>
      </c>
      <c r="B4" s="1">
        <v>31</v>
      </c>
      <c r="C4" s="1" t="s">
        <v>6</v>
      </c>
      <c r="D4" s="1" t="s">
        <v>14</v>
      </c>
      <c r="E4" s="32" t="s">
        <v>15</v>
      </c>
    </row>
    <row r="5" spans="1:5" x14ac:dyDescent="0.25">
      <c r="A5" s="6" t="s">
        <v>16</v>
      </c>
      <c r="B5" s="1">
        <v>72</v>
      </c>
      <c r="C5" s="1" t="s">
        <v>10</v>
      </c>
      <c r="D5" s="1" t="s">
        <v>17</v>
      </c>
      <c r="E5" s="32" t="s">
        <v>18</v>
      </c>
    </row>
    <row r="6" spans="1:5" x14ac:dyDescent="0.25">
      <c r="A6" s="6" t="s">
        <v>19</v>
      </c>
      <c r="B6" s="1">
        <v>58</v>
      </c>
      <c r="C6" s="1" t="s">
        <v>6</v>
      </c>
      <c r="D6" s="1" t="s">
        <v>20</v>
      </c>
      <c r="E6" s="32" t="s">
        <v>8</v>
      </c>
    </row>
    <row r="7" spans="1:5" x14ac:dyDescent="0.25">
      <c r="A7" s="6" t="s">
        <v>21</v>
      </c>
      <c r="B7" s="1">
        <v>39</v>
      </c>
      <c r="C7" s="1" t="s">
        <v>10</v>
      </c>
      <c r="D7" s="1" t="s">
        <v>22</v>
      </c>
      <c r="E7" s="32" t="s">
        <v>15</v>
      </c>
    </row>
    <row r="8" spans="1:5" x14ac:dyDescent="0.25">
      <c r="A8" s="13" t="s">
        <v>23</v>
      </c>
      <c r="B8" s="16">
        <v>64</v>
      </c>
      <c r="C8" s="16" t="s">
        <v>6</v>
      </c>
      <c r="D8" s="16" t="s">
        <v>24</v>
      </c>
      <c r="E8" s="33"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30898-1DAB-4C15-B3F9-80763CD7DC32}">
  <dimension ref="A2:O8"/>
  <sheetViews>
    <sheetView workbookViewId="0">
      <selection activeCell="H18" sqref="H18"/>
    </sheetView>
  </sheetViews>
  <sheetFormatPr defaultRowHeight="15" x14ac:dyDescent="0.25"/>
  <sheetData>
    <row r="2" spans="1:15" x14ac:dyDescent="0.25">
      <c r="A2" t="str" cm="1">
        <f t="array" ref="A2:A8">Patients[Patient ID]</f>
        <v>P001</v>
      </c>
      <c r="B2" cm="1">
        <f t="array" ref="B2:B8">Patients[Age]</f>
        <v>67</v>
      </c>
      <c r="C2" t="str" cm="1">
        <f t="array" ref="C2:C8">Patients[Gender]</f>
        <v>Female</v>
      </c>
      <c r="D2" t="str" cm="1">
        <f t="array" ref="D2:H8">Patients[]</f>
        <v>P001</v>
      </c>
      <c r="E2">
        <v>67</v>
      </c>
      <c r="F2" t="str">
        <v>Female</v>
      </c>
      <c r="G2" t="str">
        <v>Lagos</v>
      </c>
      <c r="H2" t="str">
        <v>Hypertension</v>
      </c>
      <c r="I2" t="str" cm="1">
        <f t="array" ref="I2:O8">Vitals[]</f>
        <v>V001</v>
      </c>
      <c r="J2" t="str">
        <v>P001</v>
      </c>
      <c r="K2">
        <v>155</v>
      </c>
      <c r="L2">
        <v>95</v>
      </c>
      <c r="M2">
        <v>90</v>
      </c>
      <c r="N2">
        <v>112</v>
      </c>
      <c r="O2">
        <v>46032</v>
      </c>
    </row>
    <row r="3" spans="1:15" x14ac:dyDescent="0.25">
      <c r="A3" t="str">
        <v>P002</v>
      </c>
      <c r="B3">
        <v>45</v>
      </c>
      <c r="C3" t="str">
        <v>Male</v>
      </c>
      <c r="D3" t="str">
        <v>P002</v>
      </c>
      <c r="E3">
        <v>45</v>
      </c>
      <c r="F3" t="str">
        <v>Male</v>
      </c>
      <c r="G3" t="str">
        <v>Abuja</v>
      </c>
      <c r="H3" t="str">
        <v>Diabetes</v>
      </c>
      <c r="I3" t="str">
        <v>V002</v>
      </c>
      <c r="J3" t="str">
        <v>P002</v>
      </c>
      <c r="K3">
        <v>138</v>
      </c>
      <c r="L3">
        <v>88</v>
      </c>
      <c r="M3">
        <v>94</v>
      </c>
      <c r="N3">
        <v>185</v>
      </c>
      <c r="O3">
        <v>46032</v>
      </c>
    </row>
    <row r="4" spans="1:15" x14ac:dyDescent="0.25">
      <c r="A4" t="str">
        <v>P003</v>
      </c>
      <c r="B4">
        <v>31</v>
      </c>
      <c r="C4" t="str">
        <v>Female</v>
      </c>
      <c r="D4" t="str">
        <v>P003</v>
      </c>
      <c r="E4">
        <v>31</v>
      </c>
      <c r="F4" t="str">
        <v>Female</v>
      </c>
      <c r="G4" t="str">
        <v>Port Harcourt</v>
      </c>
      <c r="H4" t="str">
        <v>None</v>
      </c>
      <c r="I4" t="str">
        <v>V003</v>
      </c>
      <c r="J4" t="str">
        <v>P003</v>
      </c>
      <c r="K4">
        <v>120</v>
      </c>
      <c r="L4">
        <v>80</v>
      </c>
      <c r="M4">
        <v>75</v>
      </c>
      <c r="N4">
        <v>96</v>
      </c>
      <c r="O4">
        <v>46033</v>
      </c>
    </row>
    <row r="5" spans="1:15" x14ac:dyDescent="0.25">
      <c r="A5" t="str">
        <v>P004</v>
      </c>
      <c r="B5">
        <v>72</v>
      </c>
      <c r="C5" t="str">
        <v>Male</v>
      </c>
      <c r="D5" t="str">
        <v>P004</v>
      </c>
      <c r="E5">
        <v>72</v>
      </c>
      <c r="F5" t="str">
        <v>Male</v>
      </c>
      <c r="G5" t="str">
        <v>Ibadan</v>
      </c>
      <c r="H5" t="str">
        <v>Heart Disease</v>
      </c>
      <c r="I5" t="str">
        <v>V004</v>
      </c>
      <c r="J5" t="str">
        <v>P004</v>
      </c>
      <c r="K5">
        <v>165</v>
      </c>
      <c r="L5">
        <v>102</v>
      </c>
      <c r="M5">
        <v>92</v>
      </c>
      <c r="N5">
        <v>125</v>
      </c>
      <c r="O5">
        <v>46033</v>
      </c>
    </row>
    <row r="6" spans="1:15" x14ac:dyDescent="0.25">
      <c r="A6" t="str">
        <v>P005</v>
      </c>
      <c r="B6">
        <v>58</v>
      </c>
      <c r="C6" t="str">
        <v>Female</v>
      </c>
      <c r="D6" t="str">
        <v>P005</v>
      </c>
      <c r="E6">
        <v>58</v>
      </c>
      <c r="F6" t="str">
        <v>Female</v>
      </c>
      <c r="G6" t="str">
        <v>Enugu</v>
      </c>
      <c r="H6" t="str">
        <v>Hypertension</v>
      </c>
      <c r="I6" t="str">
        <v>V005</v>
      </c>
      <c r="J6" t="str">
        <v>P005</v>
      </c>
      <c r="K6">
        <v>148</v>
      </c>
      <c r="L6">
        <v>92</v>
      </c>
      <c r="M6">
        <v>88</v>
      </c>
      <c r="N6">
        <v>108</v>
      </c>
      <c r="O6">
        <v>46034</v>
      </c>
    </row>
    <row r="7" spans="1:15" x14ac:dyDescent="0.25">
      <c r="A7" t="str">
        <v>P006</v>
      </c>
      <c r="B7">
        <v>39</v>
      </c>
      <c r="C7" t="str">
        <v>Male</v>
      </c>
      <c r="D7" t="str">
        <v>P006</v>
      </c>
      <c r="E7">
        <v>39</v>
      </c>
      <c r="F7" t="str">
        <v>Male</v>
      </c>
      <c r="G7" t="str">
        <v>Uyo</v>
      </c>
      <c r="H7" t="str">
        <v>None</v>
      </c>
      <c r="I7" t="str">
        <v>V006</v>
      </c>
      <c r="J7" t="str">
        <v>P006</v>
      </c>
      <c r="K7">
        <v>118</v>
      </c>
      <c r="L7">
        <v>76</v>
      </c>
      <c r="M7">
        <v>72</v>
      </c>
      <c r="N7">
        <v>92</v>
      </c>
      <c r="O7">
        <v>46034</v>
      </c>
    </row>
    <row r="8" spans="1:15" x14ac:dyDescent="0.25">
      <c r="A8" t="str">
        <v>P007</v>
      </c>
      <c r="B8">
        <v>64</v>
      </c>
      <c r="C8" t="str">
        <v>Female</v>
      </c>
      <c r="D8" t="str">
        <v>P007</v>
      </c>
      <c r="E8">
        <v>64</v>
      </c>
      <c r="F8" t="str">
        <v>Female</v>
      </c>
      <c r="G8" t="str">
        <v>Owerri</v>
      </c>
      <c r="H8" t="str">
        <v>Diabetes</v>
      </c>
      <c r="I8" t="str">
        <v>V007</v>
      </c>
      <c r="J8" t="str">
        <v>P007</v>
      </c>
      <c r="K8">
        <v>142</v>
      </c>
      <c r="L8">
        <v>90</v>
      </c>
      <c r="M8">
        <v>85</v>
      </c>
      <c r="N8">
        <v>178</v>
      </c>
      <c r="O8">
        <v>46035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605F-A2FF-4339-ADA6-36DAB89FE78E}">
  <dimension ref="A1:G8"/>
  <sheetViews>
    <sheetView workbookViewId="0">
      <selection activeCell="B8" sqref="B8"/>
    </sheetView>
  </sheetViews>
  <sheetFormatPr defaultRowHeight="15" x14ac:dyDescent="0.25"/>
  <cols>
    <col min="1" max="1" width="11.28515625" customWidth="1"/>
    <col min="2" max="2" width="13" customWidth="1"/>
    <col min="3" max="3" width="14.5703125" customWidth="1"/>
    <col min="4" max="4" width="15.42578125" customWidth="1"/>
    <col min="5" max="5" width="14" customWidth="1"/>
    <col min="6" max="6" width="17.85546875" customWidth="1"/>
    <col min="7" max="7" width="15.85546875" customWidth="1"/>
  </cols>
  <sheetData>
    <row r="1" spans="1:7" x14ac:dyDescent="0.25">
      <c r="A1" s="29" t="s">
        <v>25</v>
      </c>
      <c r="B1" s="30" t="s">
        <v>0</v>
      </c>
      <c r="C1" s="30" t="s">
        <v>26</v>
      </c>
      <c r="D1" s="30" t="s">
        <v>27</v>
      </c>
      <c r="E1" s="30" t="s">
        <v>28</v>
      </c>
      <c r="F1" s="30" t="s">
        <v>29</v>
      </c>
      <c r="G1" s="31" t="s">
        <v>30</v>
      </c>
    </row>
    <row r="2" spans="1:7" x14ac:dyDescent="0.25">
      <c r="A2" s="6" t="s">
        <v>31</v>
      </c>
      <c r="B2" s="1" t="s">
        <v>5</v>
      </c>
      <c r="C2" s="1">
        <v>155</v>
      </c>
      <c r="D2" s="1">
        <v>95</v>
      </c>
      <c r="E2" s="1">
        <v>90</v>
      </c>
      <c r="F2" s="1">
        <v>112</v>
      </c>
      <c r="G2" s="7">
        <v>46032</v>
      </c>
    </row>
    <row r="3" spans="1:7" x14ac:dyDescent="0.25">
      <c r="A3" s="6" t="s">
        <v>32</v>
      </c>
      <c r="B3" s="1" t="s">
        <v>9</v>
      </c>
      <c r="C3" s="1">
        <v>138</v>
      </c>
      <c r="D3" s="1">
        <v>88</v>
      </c>
      <c r="E3" s="1">
        <v>94</v>
      </c>
      <c r="F3" s="1">
        <v>185</v>
      </c>
      <c r="G3" s="7">
        <v>46032</v>
      </c>
    </row>
    <row r="4" spans="1:7" x14ac:dyDescent="0.25">
      <c r="A4" s="6" t="s">
        <v>33</v>
      </c>
      <c r="B4" s="1" t="s">
        <v>13</v>
      </c>
      <c r="C4" s="1">
        <v>120</v>
      </c>
      <c r="D4" s="1">
        <v>80</v>
      </c>
      <c r="E4" s="1">
        <v>75</v>
      </c>
      <c r="F4" s="1">
        <v>96</v>
      </c>
      <c r="G4" s="7">
        <v>46033</v>
      </c>
    </row>
    <row r="5" spans="1:7" x14ac:dyDescent="0.25">
      <c r="A5" s="6" t="s">
        <v>34</v>
      </c>
      <c r="B5" s="1" t="s">
        <v>16</v>
      </c>
      <c r="C5" s="1">
        <v>165</v>
      </c>
      <c r="D5" s="1">
        <v>102</v>
      </c>
      <c r="E5" s="1">
        <v>92</v>
      </c>
      <c r="F5" s="1">
        <v>125</v>
      </c>
      <c r="G5" s="7">
        <v>46033</v>
      </c>
    </row>
    <row r="6" spans="1:7" x14ac:dyDescent="0.25">
      <c r="A6" s="6" t="s">
        <v>35</v>
      </c>
      <c r="B6" s="1" t="s">
        <v>19</v>
      </c>
      <c r="C6" s="1">
        <v>148</v>
      </c>
      <c r="D6" s="1">
        <v>92</v>
      </c>
      <c r="E6" s="1">
        <v>88</v>
      </c>
      <c r="F6" s="1">
        <v>108</v>
      </c>
      <c r="G6" s="7">
        <v>46034</v>
      </c>
    </row>
    <row r="7" spans="1:7" x14ac:dyDescent="0.25">
      <c r="A7" s="6" t="s">
        <v>36</v>
      </c>
      <c r="B7" s="1" t="s">
        <v>21</v>
      </c>
      <c r="C7" s="1">
        <v>118</v>
      </c>
      <c r="D7" s="1">
        <v>76</v>
      </c>
      <c r="E7" s="1">
        <v>72</v>
      </c>
      <c r="F7" s="1">
        <v>92</v>
      </c>
      <c r="G7" s="7">
        <v>46034</v>
      </c>
    </row>
    <row r="8" spans="1:7" x14ac:dyDescent="0.25">
      <c r="A8" s="13" t="s">
        <v>37</v>
      </c>
      <c r="B8" s="16" t="s">
        <v>23</v>
      </c>
      <c r="C8" s="16">
        <v>142</v>
      </c>
      <c r="D8" s="16">
        <v>90</v>
      </c>
      <c r="E8" s="16">
        <v>85</v>
      </c>
      <c r="F8" s="16">
        <v>178</v>
      </c>
      <c r="G8" s="17">
        <v>46035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20EE-30CC-4544-A9E2-27AF3C9B8636}">
  <dimension ref="A1:S28"/>
  <sheetViews>
    <sheetView zoomScale="96" zoomScaleNormal="96" workbookViewId="0">
      <selection activeCell="A32" sqref="A32"/>
    </sheetView>
  </sheetViews>
  <sheetFormatPr defaultRowHeight="15" x14ac:dyDescent="0.25"/>
  <cols>
    <col min="1" max="1" width="12.28515625" customWidth="1"/>
    <col min="2" max="2" width="7.85546875" style="3" customWidth="1"/>
    <col min="3" max="3" width="11.42578125" style="5" customWidth="1"/>
    <col min="4" max="4" width="14.28515625" style="5" bestFit="1" customWidth="1"/>
    <col min="5" max="5" width="24.28515625" style="5" bestFit="1" customWidth="1"/>
    <col min="6" max="6" width="13.7109375" bestFit="1" customWidth="1"/>
    <col min="7" max="7" width="13.7109375" style="3" customWidth="1"/>
    <col min="8" max="8" width="13.5703125" style="3" customWidth="1"/>
    <col min="9" max="9" width="16.42578125" style="3" bestFit="1" customWidth="1"/>
    <col min="10" max="10" width="17.7109375" style="3" customWidth="1"/>
    <col min="11" max="11" width="18.42578125" bestFit="1" customWidth="1"/>
    <col min="12" max="12" width="12.140625" customWidth="1"/>
    <col min="13" max="13" width="11.28515625" customWidth="1"/>
    <col min="14" max="14" width="12.5703125" customWidth="1"/>
    <col min="15" max="15" width="10.5703125" customWidth="1"/>
    <col min="16" max="16" width="12.42578125" customWidth="1"/>
    <col min="17" max="17" width="14.7109375" bestFit="1" customWidth="1"/>
  </cols>
  <sheetData>
    <row r="1" spans="1:19" ht="30" x14ac:dyDescent="0.25">
      <c r="A1" s="8" t="s">
        <v>0</v>
      </c>
      <c r="B1" s="9" t="s">
        <v>1</v>
      </c>
      <c r="C1" s="10" t="s">
        <v>2</v>
      </c>
      <c r="D1" s="10" t="s">
        <v>3</v>
      </c>
      <c r="E1" s="10" t="s">
        <v>4</v>
      </c>
      <c r="F1" s="11" t="s">
        <v>25</v>
      </c>
      <c r="G1" s="9" t="s">
        <v>26</v>
      </c>
      <c r="H1" s="9" t="s">
        <v>27</v>
      </c>
      <c r="I1" s="9" t="s">
        <v>28</v>
      </c>
      <c r="J1" s="9" t="s">
        <v>29</v>
      </c>
      <c r="K1" s="12" t="s">
        <v>30</v>
      </c>
      <c r="L1" s="12" t="s">
        <v>50</v>
      </c>
      <c r="M1" s="9" t="s">
        <v>39</v>
      </c>
      <c r="N1" s="9" t="s">
        <v>38</v>
      </c>
      <c r="O1" s="9" t="s">
        <v>40</v>
      </c>
      <c r="P1" s="9" t="s">
        <v>41</v>
      </c>
      <c r="Q1" s="21" t="s">
        <v>42</v>
      </c>
      <c r="R1" s="25"/>
      <c r="S1" s="28"/>
    </row>
    <row r="2" spans="1:19" x14ac:dyDescent="0.25">
      <c r="A2" s="6" t="s">
        <v>5</v>
      </c>
      <c r="B2" s="2">
        <v>67</v>
      </c>
      <c r="C2" s="4" t="s">
        <v>6</v>
      </c>
      <c r="D2" s="4" t="s">
        <v>7</v>
      </c>
      <c r="E2" s="4" t="s">
        <v>8</v>
      </c>
      <c r="F2" s="1" t="s">
        <v>31</v>
      </c>
      <c r="G2" s="2">
        <v>155</v>
      </c>
      <c r="H2" s="2">
        <v>95</v>
      </c>
      <c r="I2" s="2">
        <v>90</v>
      </c>
      <c r="J2" s="2">
        <v>112</v>
      </c>
      <c r="K2" s="7">
        <v>46032</v>
      </c>
      <c r="L2" s="24" t="str">
        <f>IF(Table2[[#This Row],[Age]]&lt;40,"30–39",
IF(Table2[[#This Row],[Age]]&lt;60,"40–59","60+"))</f>
        <v>60+</v>
      </c>
      <c r="M2" s="18">
        <f>IF(OR(Table2[[#This Row],[Systolic BP]]&gt;=140,Table2[[#This Row],[Diastolic BP]]&gt;=90),1,0)</f>
        <v>1</v>
      </c>
      <c r="N2" s="18">
        <f>IF(OR(Table2[[#This Row],[Heart Rate]]&lt;60,Table2[[#This Row],[Heart Rate]]&gt;100),1,0)</f>
        <v>0</v>
      </c>
      <c r="O2" s="18">
        <f>IF(Table2[[#This Row],[Glucose Level]]&gt;=140,1,0)</f>
        <v>0</v>
      </c>
      <c r="P2" s="18">
        <f>Table2[[#This Row],[High BP]]+Table2[[#This Row],[Abnormal HeartRate]]+Table2[[#This Row],[High Glucose]]</f>
        <v>1</v>
      </c>
      <c r="Q2" s="27" t="str">
        <f>IF(Table2[[#This Row],[Abnormal Vitals]]=0,"Low Risk",
IF(Table2[[#This Row],[Abnormal Vitals]]=1,"Medium Risk","High Risk"))</f>
        <v>Medium Risk</v>
      </c>
      <c r="R2" s="26"/>
      <c r="S2" s="26"/>
    </row>
    <row r="3" spans="1:19" x14ac:dyDescent="0.25">
      <c r="A3" s="6" t="s">
        <v>9</v>
      </c>
      <c r="B3" s="2">
        <v>45</v>
      </c>
      <c r="C3" s="4" t="s">
        <v>10</v>
      </c>
      <c r="D3" s="4" t="s">
        <v>11</v>
      </c>
      <c r="E3" s="4" t="s">
        <v>12</v>
      </c>
      <c r="F3" s="1" t="s">
        <v>32</v>
      </c>
      <c r="G3" s="2">
        <v>138</v>
      </c>
      <c r="H3" s="2">
        <v>88</v>
      </c>
      <c r="I3" s="2">
        <v>94</v>
      </c>
      <c r="J3" s="2">
        <v>185</v>
      </c>
      <c r="K3" s="7">
        <v>46032</v>
      </c>
      <c r="L3" s="24" t="str">
        <f>IF(Table2[[#This Row],[Age]]&lt;40,"30–39",
IF(Table2[[#This Row],[Age]]&lt;60,"40–59","60+"))</f>
        <v>40–59</v>
      </c>
      <c r="M3" s="2">
        <f>IF(OR(Table2[[#This Row],[Systolic BP]]&gt;=140,Table2[[#This Row],[Diastolic BP]]&gt;=90),1,0)</f>
        <v>0</v>
      </c>
      <c r="N3" s="2">
        <f>IF(OR(Table2[[#This Row],[Heart Rate]]&lt;60,Table2[[#This Row],[Heart Rate]]&gt;100),1,0)</f>
        <v>0</v>
      </c>
      <c r="O3" s="2">
        <f>IF(Table2[[#This Row],[Glucose Level]]&gt;=140,1,0)</f>
        <v>1</v>
      </c>
      <c r="P3" s="2">
        <f>Table2[[#This Row],[High BP]]+Table2[[#This Row],[Abnormal HeartRate]]+Table2[[#This Row],[High Glucose]]</f>
        <v>1</v>
      </c>
      <c r="Q3" s="22" t="str">
        <f>IF(Table2[[#This Row],[Abnormal Vitals]]=0,"Low Risk",
IF(Table2[[#This Row],[Abnormal Vitals]]=1,"Medium Risk","High Risk"))</f>
        <v>Medium Risk</v>
      </c>
      <c r="R3" s="26"/>
      <c r="S3" s="26"/>
    </row>
    <row r="4" spans="1:19" x14ac:dyDescent="0.25">
      <c r="A4" s="6" t="s">
        <v>13</v>
      </c>
      <c r="B4" s="2">
        <v>31</v>
      </c>
      <c r="C4" s="4" t="s">
        <v>6</v>
      </c>
      <c r="D4" s="4" t="s">
        <v>14</v>
      </c>
      <c r="E4" s="4" t="s">
        <v>15</v>
      </c>
      <c r="F4" s="1" t="s">
        <v>33</v>
      </c>
      <c r="G4" s="2">
        <v>120</v>
      </c>
      <c r="H4" s="2">
        <v>80</v>
      </c>
      <c r="I4" s="2">
        <v>75</v>
      </c>
      <c r="J4" s="2">
        <v>96</v>
      </c>
      <c r="K4" s="7">
        <v>46033</v>
      </c>
      <c r="L4" s="24" t="str">
        <f>IF(Table2[[#This Row],[Age]]&lt;40,"30–39",
IF(Table2[[#This Row],[Age]]&lt;60,"40–59","60+"))</f>
        <v>30–39</v>
      </c>
      <c r="M4" s="2">
        <f>IF(OR(Table2[[#This Row],[Systolic BP]]&gt;=140,Table2[[#This Row],[Diastolic BP]]&gt;=90),1,0)</f>
        <v>0</v>
      </c>
      <c r="N4" s="2">
        <f>IF(OR(Table2[[#This Row],[Heart Rate]]&lt;60,Table2[[#This Row],[Heart Rate]]&gt;100),1,0)</f>
        <v>0</v>
      </c>
      <c r="O4" s="2">
        <f>IF(Table2[[#This Row],[Glucose Level]]&gt;=140,1,0)</f>
        <v>0</v>
      </c>
      <c r="P4" s="2">
        <f>Table2[[#This Row],[High BP]]+Table2[[#This Row],[Abnormal HeartRate]]+Table2[[#This Row],[High Glucose]]</f>
        <v>0</v>
      </c>
      <c r="Q4" s="22" t="str">
        <f>IF(Table2[[#This Row],[Abnormal Vitals]]=0,"Low Risk",
IF(Table2[[#This Row],[Abnormal Vitals]]=1,"Medium Risk","High Risk"))</f>
        <v>Low Risk</v>
      </c>
      <c r="R4" s="26"/>
      <c r="S4" s="26"/>
    </row>
    <row r="5" spans="1:19" x14ac:dyDescent="0.25">
      <c r="A5" s="6" t="s">
        <v>16</v>
      </c>
      <c r="B5" s="2">
        <v>72</v>
      </c>
      <c r="C5" s="4" t="s">
        <v>10</v>
      </c>
      <c r="D5" s="4" t="s">
        <v>17</v>
      </c>
      <c r="E5" s="4" t="s">
        <v>18</v>
      </c>
      <c r="F5" s="1" t="s">
        <v>34</v>
      </c>
      <c r="G5" s="2">
        <v>165</v>
      </c>
      <c r="H5" s="2">
        <v>102</v>
      </c>
      <c r="I5" s="2">
        <v>92</v>
      </c>
      <c r="J5" s="2">
        <v>125</v>
      </c>
      <c r="K5" s="7">
        <v>46033</v>
      </c>
      <c r="L5" s="24" t="str">
        <f>IF(Table2[[#This Row],[Age]]&lt;40,"30–39",
IF(Table2[[#This Row],[Age]]&lt;60,"40–59","60+"))</f>
        <v>60+</v>
      </c>
      <c r="M5" s="2">
        <f>IF(OR(Table2[[#This Row],[Systolic BP]]&gt;=140,Table2[[#This Row],[Diastolic BP]]&gt;=90),1,0)</f>
        <v>1</v>
      </c>
      <c r="N5" s="2">
        <f>IF(OR(Table2[[#This Row],[Heart Rate]]&lt;60,Table2[[#This Row],[Heart Rate]]&gt;100),1,0)</f>
        <v>0</v>
      </c>
      <c r="O5" s="2">
        <f>IF(Table2[[#This Row],[Glucose Level]]&gt;=140,1,0)</f>
        <v>0</v>
      </c>
      <c r="P5" s="2">
        <f>Table2[[#This Row],[High BP]]+Table2[[#This Row],[Abnormal HeartRate]]+Table2[[#This Row],[High Glucose]]</f>
        <v>1</v>
      </c>
      <c r="Q5" s="22" t="str">
        <f>IF(Table2[[#This Row],[Abnormal Vitals]]=0,"Low Risk",
IF(Table2[[#This Row],[Abnormal Vitals]]=1,"Medium Risk","High Risk"))</f>
        <v>Medium Risk</v>
      </c>
      <c r="R5" s="26"/>
      <c r="S5" s="26"/>
    </row>
    <row r="6" spans="1:19" x14ac:dyDescent="0.25">
      <c r="A6" s="6" t="s">
        <v>19</v>
      </c>
      <c r="B6" s="2">
        <v>58</v>
      </c>
      <c r="C6" s="4" t="s">
        <v>6</v>
      </c>
      <c r="D6" s="4" t="s">
        <v>20</v>
      </c>
      <c r="E6" s="4" t="s">
        <v>8</v>
      </c>
      <c r="F6" s="1" t="s">
        <v>35</v>
      </c>
      <c r="G6" s="2">
        <v>148</v>
      </c>
      <c r="H6" s="2">
        <v>92</v>
      </c>
      <c r="I6" s="2">
        <v>88</v>
      </c>
      <c r="J6" s="2">
        <v>108</v>
      </c>
      <c r="K6" s="7">
        <v>46034</v>
      </c>
      <c r="L6" s="24" t="str">
        <f>IF(Table2[[#This Row],[Age]]&lt;40,"30–39",
IF(Table2[[#This Row],[Age]]&lt;60,"40–59","60+"))</f>
        <v>40–59</v>
      </c>
      <c r="M6" s="2">
        <f>IF(OR(Table2[[#This Row],[Systolic BP]]&gt;=140,Table2[[#This Row],[Diastolic BP]]&gt;=90),1,0)</f>
        <v>1</v>
      </c>
      <c r="N6" s="2">
        <f>IF(OR(Table2[[#This Row],[Heart Rate]]&lt;60,Table2[[#This Row],[Heart Rate]]&gt;100),1,0)</f>
        <v>0</v>
      </c>
      <c r="O6" s="2">
        <f>IF(Table2[[#This Row],[Glucose Level]]&gt;=140,1,0)</f>
        <v>0</v>
      </c>
      <c r="P6" s="2">
        <f>Table2[[#This Row],[High BP]]+Table2[[#This Row],[Abnormal HeartRate]]+Table2[[#This Row],[High Glucose]]</f>
        <v>1</v>
      </c>
      <c r="Q6" s="22" t="str">
        <f>IF(Table2[[#This Row],[Abnormal Vitals]]=0,"Low Risk",
IF(Table2[[#This Row],[Abnormal Vitals]]=1,"Medium Risk","High Risk"))</f>
        <v>Medium Risk</v>
      </c>
      <c r="R6" s="26"/>
      <c r="S6" s="26"/>
    </row>
    <row r="7" spans="1:19" x14ac:dyDescent="0.25">
      <c r="A7" s="6" t="s">
        <v>21</v>
      </c>
      <c r="B7" s="2">
        <v>39</v>
      </c>
      <c r="C7" s="4" t="s">
        <v>10</v>
      </c>
      <c r="D7" s="4" t="s">
        <v>22</v>
      </c>
      <c r="E7" s="4" t="s">
        <v>15</v>
      </c>
      <c r="F7" s="1" t="s">
        <v>36</v>
      </c>
      <c r="G7" s="2">
        <v>118</v>
      </c>
      <c r="H7" s="2">
        <v>76</v>
      </c>
      <c r="I7" s="2">
        <v>72</v>
      </c>
      <c r="J7" s="2">
        <v>92</v>
      </c>
      <c r="K7" s="7">
        <v>46034</v>
      </c>
      <c r="L7" s="24" t="str">
        <f>IF(Table2[[#This Row],[Age]]&lt;40,"30–39",
IF(Table2[[#This Row],[Age]]&lt;60,"40–59","60+"))</f>
        <v>30–39</v>
      </c>
      <c r="M7" s="2">
        <f>IF(OR(Table2[[#This Row],[Systolic BP]]&gt;=140,Table2[[#This Row],[Diastolic BP]]&gt;=90),1,0)</f>
        <v>0</v>
      </c>
      <c r="N7" s="2">
        <f>IF(OR(Table2[[#This Row],[Heart Rate]]&lt;60,Table2[[#This Row],[Heart Rate]]&gt;100),1,0)</f>
        <v>0</v>
      </c>
      <c r="O7" s="2">
        <f>IF(Table2[[#This Row],[Glucose Level]]&gt;=140,1,0)</f>
        <v>0</v>
      </c>
      <c r="P7" s="2">
        <f>Table2[[#This Row],[High BP]]+Table2[[#This Row],[Abnormal HeartRate]]+Table2[[#This Row],[High Glucose]]</f>
        <v>0</v>
      </c>
      <c r="Q7" s="22" t="str">
        <f>IF(Table2[[#This Row],[Abnormal Vitals]]=0,"Low Risk",
IF(Table2[[#This Row],[Abnormal Vitals]]=1,"Medium Risk","High Risk"))</f>
        <v>Low Risk</v>
      </c>
      <c r="R7" s="26"/>
      <c r="S7" s="26"/>
    </row>
    <row r="8" spans="1:19" x14ac:dyDescent="0.25">
      <c r="A8" s="13" t="s">
        <v>23</v>
      </c>
      <c r="B8" s="14">
        <v>64</v>
      </c>
      <c r="C8" s="15" t="s">
        <v>6</v>
      </c>
      <c r="D8" s="15" t="s">
        <v>24</v>
      </c>
      <c r="E8" s="15" t="s">
        <v>12</v>
      </c>
      <c r="F8" s="16" t="s">
        <v>37</v>
      </c>
      <c r="G8" s="14">
        <v>142</v>
      </c>
      <c r="H8" s="14">
        <v>90</v>
      </c>
      <c r="I8" s="14">
        <v>85</v>
      </c>
      <c r="J8" s="14">
        <v>178</v>
      </c>
      <c r="K8" s="17">
        <v>46035</v>
      </c>
      <c r="L8" s="24" t="str">
        <f>IF(Table2[[#This Row],[Age]]&lt;40,"30–39",
IF(Table2[[#This Row],[Age]]&lt;60,"40–59","60+"))</f>
        <v>60+</v>
      </c>
      <c r="M8" s="14">
        <f>IF(OR(Table2[[#This Row],[Systolic BP]]&gt;=140,Table2[[#This Row],[Diastolic BP]]&gt;=90),1,0)</f>
        <v>1</v>
      </c>
      <c r="N8" s="14">
        <f>IF(OR(Table2[[#This Row],[Heart Rate]]&lt;60,Table2[[#This Row],[Heart Rate]]&gt;100),1,0)</f>
        <v>0</v>
      </c>
      <c r="O8" s="14">
        <f>IF(Table2[[#This Row],[Glucose Level]]&gt;=140,1,0)</f>
        <v>1</v>
      </c>
      <c r="P8" s="14">
        <f>Table2[[#This Row],[High BP]]+Table2[[#This Row],[Abnormal HeartRate]]+Table2[[#This Row],[High Glucose]]</f>
        <v>2</v>
      </c>
      <c r="Q8" s="23" t="str">
        <f>IF(Table2[[#This Row],[Abnormal Vitals]]=0,"Low Risk",
IF(Table2[[#This Row],[Abnormal Vitals]]=1,"Medium Risk","High Risk"))</f>
        <v>High Risk</v>
      </c>
      <c r="R8" s="26"/>
      <c r="S8" s="26"/>
    </row>
    <row r="12" spans="1:19" x14ac:dyDescent="0.25">
      <c r="A12">
        <f>COUNTA(Table2[Patient ID])</f>
        <v>7</v>
      </c>
    </row>
    <row r="20" spans="7:19" x14ac:dyDescent="0.25">
      <c r="G20" s="3" t="s">
        <v>58</v>
      </c>
    </row>
    <row r="28" spans="7:19" x14ac:dyDescent="0.25">
      <c r="S28" t="s">
        <v>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C9B4-4185-4131-B388-B578D3DDC591}">
  <dimension ref="A2:E28"/>
  <sheetViews>
    <sheetView workbookViewId="0">
      <selection activeCell="G21" sqref="G21"/>
    </sheetView>
  </sheetViews>
  <sheetFormatPr defaultRowHeight="15" x14ac:dyDescent="0.25"/>
  <cols>
    <col min="1" max="1" width="18.140625" customWidth="1"/>
    <col min="2" max="2" width="18.42578125" bestFit="1" customWidth="1"/>
    <col min="3" max="3" width="8.85546875" bestFit="1" customWidth="1"/>
    <col min="4" max="4" width="12.5703125" bestFit="1" customWidth="1"/>
    <col min="5" max="5" width="11.28515625" bestFit="1" customWidth="1"/>
    <col min="6" max="9" width="14.42578125" bestFit="1" customWidth="1"/>
    <col min="10" max="10" width="17.7109375" bestFit="1" customWidth="1"/>
    <col min="11" max="11" width="11.28515625" bestFit="1" customWidth="1"/>
  </cols>
  <sheetData>
    <row r="2" spans="1:5" x14ac:dyDescent="0.25">
      <c r="A2" s="25" t="s">
        <v>51</v>
      </c>
      <c r="B2" s="25"/>
    </row>
    <row r="3" spans="1:5" x14ac:dyDescent="0.25">
      <c r="A3" s="19" t="s">
        <v>43</v>
      </c>
      <c r="B3" t="s">
        <v>49</v>
      </c>
    </row>
    <row r="4" spans="1:5" x14ac:dyDescent="0.25">
      <c r="A4" s="20" t="s">
        <v>47</v>
      </c>
      <c r="B4">
        <v>1</v>
      </c>
    </row>
    <row r="5" spans="1:5" x14ac:dyDescent="0.25">
      <c r="A5" s="20" t="s">
        <v>46</v>
      </c>
      <c r="B5">
        <v>2</v>
      </c>
    </row>
    <row r="6" spans="1:5" x14ac:dyDescent="0.25">
      <c r="A6" s="20" t="s">
        <v>45</v>
      </c>
      <c r="B6">
        <v>4</v>
      </c>
    </row>
    <row r="7" spans="1:5" x14ac:dyDescent="0.25">
      <c r="A7" s="20" t="s">
        <v>44</v>
      </c>
      <c r="B7">
        <v>7</v>
      </c>
    </row>
    <row r="11" spans="1:5" x14ac:dyDescent="0.25">
      <c r="A11" s="25" t="s">
        <v>55</v>
      </c>
    </row>
    <row r="12" spans="1:5" x14ac:dyDescent="0.25">
      <c r="A12" s="19" t="s">
        <v>49</v>
      </c>
      <c r="B12" s="19" t="s">
        <v>48</v>
      </c>
    </row>
    <row r="13" spans="1:5" x14ac:dyDescent="0.25">
      <c r="A13" s="19" t="s">
        <v>43</v>
      </c>
      <c r="B13" t="s">
        <v>47</v>
      </c>
      <c r="C13" t="s">
        <v>46</v>
      </c>
      <c r="D13" t="s">
        <v>45</v>
      </c>
      <c r="E13" t="s">
        <v>44</v>
      </c>
    </row>
    <row r="14" spans="1:5" x14ac:dyDescent="0.25">
      <c r="A14" s="20" t="s">
        <v>52</v>
      </c>
      <c r="C14">
        <v>2</v>
      </c>
      <c r="E14">
        <v>2</v>
      </c>
    </row>
    <row r="15" spans="1:5" x14ac:dyDescent="0.25">
      <c r="A15" s="20" t="s">
        <v>53</v>
      </c>
      <c r="D15">
        <v>2</v>
      </c>
      <c r="E15">
        <v>2</v>
      </c>
    </row>
    <row r="16" spans="1:5" x14ac:dyDescent="0.25">
      <c r="A16" s="20" t="s">
        <v>54</v>
      </c>
      <c r="B16">
        <v>1</v>
      </c>
      <c r="D16">
        <v>2</v>
      </c>
      <c r="E16">
        <v>3</v>
      </c>
    </row>
    <row r="17" spans="1:5" x14ac:dyDescent="0.25">
      <c r="A17" s="20" t="s">
        <v>44</v>
      </c>
      <c r="B17">
        <v>1</v>
      </c>
      <c r="C17">
        <v>2</v>
      </c>
      <c r="D17">
        <v>4</v>
      </c>
      <c r="E17">
        <v>7</v>
      </c>
    </row>
    <row r="21" spans="1:5" x14ac:dyDescent="0.25">
      <c r="A21" s="25" t="s">
        <v>56</v>
      </c>
    </row>
    <row r="22" spans="1:5" x14ac:dyDescent="0.25">
      <c r="A22" s="19" t="s">
        <v>49</v>
      </c>
      <c r="B22" s="19" t="s">
        <v>48</v>
      </c>
    </row>
    <row r="23" spans="1:5" x14ac:dyDescent="0.25">
      <c r="A23" s="19" t="s">
        <v>43</v>
      </c>
      <c r="B23" t="s">
        <v>47</v>
      </c>
      <c r="C23" t="s">
        <v>46</v>
      </c>
      <c r="D23" t="s">
        <v>45</v>
      </c>
      <c r="E23" t="s">
        <v>44</v>
      </c>
    </row>
    <row r="24" spans="1:5" x14ac:dyDescent="0.25">
      <c r="A24" s="20" t="s">
        <v>12</v>
      </c>
      <c r="B24">
        <v>1</v>
      </c>
      <c r="D24">
        <v>1</v>
      </c>
      <c r="E24">
        <v>2</v>
      </c>
    </row>
    <row r="25" spans="1:5" x14ac:dyDescent="0.25">
      <c r="A25" s="20" t="s">
        <v>18</v>
      </c>
      <c r="D25">
        <v>1</v>
      </c>
      <c r="E25">
        <v>1</v>
      </c>
    </row>
    <row r="26" spans="1:5" x14ac:dyDescent="0.25">
      <c r="A26" s="20" t="s">
        <v>8</v>
      </c>
      <c r="D26">
        <v>2</v>
      </c>
      <c r="E26">
        <v>2</v>
      </c>
    </row>
    <row r="27" spans="1:5" x14ac:dyDescent="0.25">
      <c r="A27" s="20" t="s">
        <v>15</v>
      </c>
      <c r="C27">
        <v>2</v>
      </c>
      <c r="E27">
        <v>2</v>
      </c>
    </row>
    <row r="28" spans="1:5" x14ac:dyDescent="0.25">
      <c r="A28" s="20" t="s">
        <v>44</v>
      </c>
      <c r="B28">
        <v>1</v>
      </c>
      <c r="C28">
        <v>2</v>
      </c>
      <c r="D28">
        <v>4</v>
      </c>
      <c r="E28">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799E8-3FBF-4CAA-B3CC-97ECA79519E8}">
  <dimension ref="W26"/>
  <sheetViews>
    <sheetView showGridLines="0" tabSelected="1" zoomScaleNormal="100" workbookViewId="0">
      <selection activeCell="F37" sqref="F37"/>
    </sheetView>
  </sheetViews>
  <sheetFormatPr defaultRowHeight="15" x14ac:dyDescent="0.25"/>
  <sheetData>
    <row r="26" spans="23:23" x14ac:dyDescent="0.25">
      <c r="W26" t="s">
        <v>59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Patients</vt:lpstr>
      <vt:lpstr>Clean</vt:lpstr>
      <vt:lpstr>Vitals</vt:lpstr>
      <vt:lpstr>Merged</vt:lpstr>
      <vt:lpstr>Analysis-Pivot</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dc:creator>
  <cp:lastModifiedBy>Rachel</cp:lastModifiedBy>
  <cp:lastPrinted>2026-02-10T00:54:51Z</cp:lastPrinted>
  <dcterms:created xsi:type="dcterms:W3CDTF">2026-02-09T15:58:25Z</dcterms:created>
  <dcterms:modified xsi:type="dcterms:W3CDTF">2026-02-25T21:57:23Z</dcterms:modified>
</cp:coreProperties>
</file>